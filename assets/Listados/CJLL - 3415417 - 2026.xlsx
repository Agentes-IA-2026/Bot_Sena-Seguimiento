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ocuments\Bot_sena_seguimiento\assets\Listados\"/>
    </mc:Choice>
  </mc:AlternateContent>
  <xr:revisionPtr revIDLastSave="0" documentId="13_ncr:1_{A1600795-5B08-4E4F-B64C-5A3662F8942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SISTENCIA " sheetId="1" r:id="rId1"/>
    <sheet name="BASE DE DATOS" sheetId="2" r:id="rId2"/>
    <sheet name="GRUPOS DE PROYECTO" sheetId="3" r:id="rId3"/>
  </sheets>
  <definedNames>
    <definedName name="_xlnm._FilterDatabase" localSheetId="0" hidden="1">'ASISTENCIA '!$A$8:$DW$57</definedName>
    <definedName name="AñoCalendario">#REF!</definedName>
    <definedName name="asd">#REF!</definedName>
    <definedName name="DIAS">'ASISTENCIA '!$C$64:$D$69</definedName>
    <definedName name="Excel_BuiltIn__FilterDatabase_6">#REF!</definedName>
    <definedName name="Feriados">'ASISTENCIA '!#REF!</definedName>
    <definedName name="InicioDeSemana">#REF!</definedName>
    <definedName name="TítuloDeColumnaRegión1..I12.1">#REF!</definedName>
    <definedName name="TítuloDeColumnaRegión1..I12.2">#REF!</definedName>
    <definedName name="TítuloDeColumnaRegión2..D14.1">#REF!</definedName>
    <definedName name="TítuloDeColumnaRegión2..D14.2">#REF!</definedName>
    <definedName name="TítuloDeFilaRegión1..F13.2">#REF!</definedName>
    <definedName name="TítuloDeFilaRegión1..L3.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v8LWoqK7trRcj9d4KOYBamLJVcxmFyTkWKRUchHDdc="/>
    </ext>
  </extLst>
</workbook>
</file>

<file path=xl/calcChain.xml><?xml version="1.0" encoding="utf-8"?>
<calcChain xmlns="http://schemas.openxmlformats.org/spreadsheetml/2006/main">
  <c r="Q57" i="1" l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P57" i="1"/>
  <c r="P56" i="1"/>
  <c r="P55" i="1"/>
  <c r="P54" i="1"/>
  <c r="P53" i="1"/>
  <c r="P52" i="1"/>
  <c r="P51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AI50" i="1"/>
  <c r="AH50" i="1"/>
  <c r="AF50" i="1"/>
  <c r="AE50" i="1"/>
  <c r="Z50" i="1" l="1"/>
  <c r="AC50" i="1"/>
  <c r="AB50" i="1"/>
  <c r="AA50" i="1"/>
  <c r="W50" i="1"/>
  <c r="V50" i="1"/>
  <c r="U50" i="1"/>
  <c r="T50" i="1"/>
  <c r="S50" i="1"/>
  <c r="R50" i="1"/>
  <c r="Q50" i="1"/>
  <c r="P50" i="1"/>
  <c r="AD50" i="1"/>
  <c r="B45" i="1"/>
  <c r="B46" i="1"/>
  <c r="B47" i="1"/>
  <c r="B48" i="1"/>
  <c r="B4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9" i="1"/>
  <c r="D9" i="1"/>
  <c r="G45" i="1" l="1"/>
  <c r="H45" i="1"/>
  <c r="I45" i="1"/>
  <c r="J45" i="1"/>
  <c r="K45" i="1"/>
  <c r="L45" i="1"/>
  <c r="M45" i="1"/>
  <c r="N45" i="1"/>
  <c r="G46" i="1"/>
  <c r="H46" i="1"/>
  <c r="I46" i="1"/>
  <c r="J46" i="1"/>
  <c r="K46" i="1"/>
  <c r="L46" i="1"/>
  <c r="M46" i="1"/>
  <c r="N46" i="1"/>
  <c r="G47" i="1"/>
  <c r="H47" i="1"/>
  <c r="I47" i="1"/>
  <c r="J47" i="1"/>
  <c r="K47" i="1"/>
  <c r="L47" i="1"/>
  <c r="M47" i="1"/>
  <c r="N47" i="1"/>
  <c r="G48" i="1"/>
  <c r="H48" i="1"/>
  <c r="I48" i="1"/>
  <c r="J48" i="1"/>
  <c r="K48" i="1"/>
  <c r="L48" i="1"/>
  <c r="M48" i="1"/>
  <c r="N48" i="1"/>
  <c r="G49" i="1"/>
  <c r="H49" i="1"/>
  <c r="I49" i="1"/>
  <c r="J49" i="1"/>
  <c r="K49" i="1"/>
  <c r="L49" i="1"/>
  <c r="M49" i="1"/>
  <c r="N49" i="1"/>
  <c r="CY2" i="1"/>
  <c r="G6" i="1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DW57" i="1"/>
  <c r="DV57" i="1"/>
  <c r="N57" i="1"/>
  <c r="DW56" i="1"/>
  <c r="DV56" i="1"/>
  <c r="N56" i="1"/>
  <c r="DW55" i="1"/>
  <c r="DV55" i="1"/>
  <c r="N55" i="1"/>
  <c r="DW54" i="1"/>
  <c r="DV54" i="1"/>
  <c r="N54" i="1"/>
  <c r="DW53" i="1"/>
  <c r="DV53" i="1"/>
  <c r="N53" i="1"/>
  <c r="DW52" i="1"/>
  <c r="DV52" i="1"/>
  <c r="N52" i="1"/>
  <c r="DW51" i="1"/>
  <c r="DV51" i="1"/>
  <c r="N51" i="1"/>
  <c r="DW50" i="1"/>
  <c r="DV50" i="1"/>
  <c r="AG50" i="1"/>
  <c r="Y50" i="1"/>
  <c r="X50" i="1"/>
  <c r="N50" i="1"/>
  <c r="DW44" i="1"/>
  <c r="DV44" i="1"/>
  <c r="N44" i="1"/>
  <c r="L44" i="1"/>
  <c r="K44" i="1"/>
  <c r="J44" i="1"/>
  <c r="I44" i="1"/>
  <c r="F44" i="1" s="1"/>
  <c r="H44" i="1"/>
  <c r="G44" i="1"/>
  <c r="B44" i="1"/>
  <c r="DW43" i="1"/>
  <c r="DV43" i="1"/>
  <c r="N43" i="1"/>
  <c r="L43" i="1"/>
  <c r="K43" i="1"/>
  <c r="J43" i="1"/>
  <c r="I43" i="1"/>
  <c r="F43" i="1" s="1"/>
  <c r="H43" i="1"/>
  <c r="G43" i="1"/>
  <c r="B43" i="1"/>
  <c r="DW42" i="1"/>
  <c r="DV42" i="1"/>
  <c r="N42" i="1"/>
  <c r="L42" i="1"/>
  <c r="K42" i="1"/>
  <c r="J42" i="1"/>
  <c r="I42" i="1"/>
  <c r="F42" i="1" s="1"/>
  <c r="H42" i="1"/>
  <c r="G42" i="1"/>
  <c r="B42" i="1"/>
  <c r="DW41" i="1"/>
  <c r="DV41" i="1"/>
  <c r="N41" i="1"/>
  <c r="L41" i="1"/>
  <c r="K41" i="1"/>
  <c r="J41" i="1"/>
  <c r="I41" i="1"/>
  <c r="F41" i="1" s="1"/>
  <c r="H41" i="1"/>
  <c r="G41" i="1"/>
  <c r="B41" i="1"/>
  <c r="DW40" i="1"/>
  <c r="DV40" i="1"/>
  <c r="N40" i="1"/>
  <c r="L40" i="1"/>
  <c r="K40" i="1"/>
  <c r="J40" i="1"/>
  <c r="I40" i="1"/>
  <c r="F40" i="1" s="1"/>
  <c r="H40" i="1"/>
  <c r="G40" i="1"/>
  <c r="B40" i="1"/>
  <c r="DW39" i="1"/>
  <c r="DV39" i="1"/>
  <c r="N39" i="1"/>
  <c r="L39" i="1"/>
  <c r="K39" i="1"/>
  <c r="J39" i="1"/>
  <c r="I39" i="1"/>
  <c r="F39" i="1" s="1"/>
  <c r="H39" i="1"/>
  <c r="G39" i="1"/>
  <c r="B39" i="1"/>
  <c r="DW38" i="1"/>
  <c r="DV38" i="1"/>
  <c r="N38" i="1"/>
  <c r="L38" i="1"/>
  <c r="K38" i="1"/>
  <c r="J38" i="1"/>
  <c r="I38" i="1"/>
  <c r="F38" i="1" s="1"/>
  <c r="H38" i="1"/>
  <c r="G38" i="1"/>
  <c r="B38" i="1"/>
  <c r="DW37" i="1"/>
  <c r="DV37" i="1"/>
  <c r="N37" i="1"/>
  <c r="L37" i="1"/>
  <c r="K37" i="1"/>
  <c r="J37" i="1"/>
  <c r="I37" i="1"/>
  <c r="F37" i="1" s="1"/>
  <c r="H37" i="1"/>
  <c r="G37" i="1"/>
  <c r="B37" i="1"/>
  <c r="DW36" i="1"/>
  <c r="DV36" i="1"/>
  <c r="N36" i="1"/>
  <c r="L36" i="1"/>
  <c r="K36" i="1"/>
  <c r="J36" i="1"/>
  <c r="I36" i="1"/>
  <c r="F36" i="1" s="1"/>
  <c r="H36" i="1"/>
  <c r="G36" i="1"/>
  <c r="B36" i="1"/>
  <c r="DW35" i="1"/>
  <c r="DV35" i="1"/>
  <c r="N35" i="1"/>
  <c r="L35" i="1"/>
  <c r="K35" i="1"/>
  <c r="J35" i="1"/>
  <c r="I35" i="1"/>
  <c r="F35" i="1" s="1"/>
  <c r="H35" i="1"/>
  <c r="G35" i="1"/>
  <c r="B35" i="1"/>
  <c r="DW34" i="1"/>
  <c r="DV34" i="1"/>
  <c r="N34" i="1"/>
  <c r="L34" i="1"/>
  <c r="K34" i="1"/>
  <c r="J34" i="1"/>
  <c r="I34" i="1"/>
  <c r="F34" i="1" s="1"/>
  <c r="H34" i="1"/>
  <c r="G34" i="1"/>
  <c r="B34" i="1"/>
  <c r="DW33" i="1"/>
  <c r="DV33" i="1"/>
  <c r="N33" i="1"/>
  <c r="L33" i="1"/>
  <c r="K33" i="1"/>
  <c r="J33" i="1"/>
  <c r="I33" i="1"/>
  <c r="F33" i="1" s="1"/>
  <c r="H33" i="1"/>
  <c r="G33" i="1"/>
  <c r="B33" i="1"/>
  <c r="DW32" i="1"/>
  <c r="DV32" i="1"/>
  <c r="N32" i="1"/>
  <c r="L32" i="1"/>
  <c r="K32" i="1"/>
  <c r="J32" i="1"/>
  <c r="I32" i="1"/>
  <c r="F32" i="1" s="1"/>
  <c r="H32" i="1"/>
  <c r="G32" i="1"/>
  <c r="B32" i="1"/>
  <c r="DW31" i="1"/>
  <c r="DV31" i="1"/>
  <c r="N31" i="1"/>
  <c r="L31" i="1"/>
  <c r="K31" i="1"/>
  <c r="J31" i="1"/>
  <c r="I31" i="1"/>
  <c r="F31" i="1" s="1"/>
  <c r="H31" i="1"/>
  <c r="G31" i="1"/>
  <c r="B31" i="1"/>
  <c r="DW30" i="1"/>
  <c r="DV30" i="1"/>
  <c r="N30" i="1"/>
  <c r="L30" i="1"/>
  <c r="K30" i="1"/>
  <c r="J30" i="1"/>
  <c r="I30" i="1"/>
  <c r="F30" i="1" s="1"/>
  <c r="H30" i="1"/>
  <c r="G30" i="1"/>
  <c r="B30" i="1"/>
  <c r="DW29" i="1"/>
  <c r="DV29" i="1"/>
  <c r="N29" i="1"/>
  <c r="L29" i="1"/>
  <c r="K29" i="1"/>
  <c r="J29" i="1"/>
  <c r="I29" i="1"/>
  <c r="F29" i="1" s="1"/>
  <c r="H29" i="1"/>
  <c r="G29" i="1"/>
  <c r="B29" i="1"/>
  <c r="DW28" i="1"/>
  <c r="DV28" i="1"/>
  <c r="N28" i="1"/>
  <c r="L28" i="1"/>
  <c r="K28" i="1"/>
  <c r="J28" i="1"/>
  <c r="I28" i="1"/>
  <c r="F28" i="1" s="1"/>
  <c r="H28" i="1"/>
  <c r="G28" i="1"/>
  <c r="B28" i="1"/>
  <c r="DW27" i="1"/>
  <c r="DV27" i="1"/>
  <c r="N27" i="1"/>
  <c r="L27" i="1"/>
  <c r="K27" i="1"/>
  <c r="J27" i="1"/>
  <c r="I27" i="1"/>
  <c r="F27" i="1" s="1"/>
  <c r="H27" i="1"/>
  <c r="G27" i="1"/>
  <c r="B27" i="1"/>
  <c r="DW26" i="1"/>
  <c r="DV26" i="1"/>
  <c r="N26" i="1"/>
  <c r="L26" i="1"/>
  <c r="K26" i="1"/>
  <c r="J26" i="1"/>
  <c r="I26" i="1"/>
  <c r="F26" i="1" s="1"/>
  <c r="H26" i="1"/>
  <c r="G26" i="1"/>
  <c r="B26" i="1"/>
  <c r="DW25" i="1"/>
  <c r="DV25" i="1"/>
  <c r="N25" i="1"/>
  <c r="L25" i="1"/>
  <c r="K25" i="1"/>
  <c r="J25" i="1"/>
  <c r="I25" i="1"/>
  <c r="F25" i="1" s="1"/>
  <c r="H25" i="1"/>
  <c r="G25" i="1"/>
  <c r="B25" i="1"/>
  <c r="DW24" i="1"/>
  <c r="DV24" i="1"/>
  <c r="N24" i="1"/>
  <c r="L24" i="1"/>
  <c r="K24" i="1"/>
  <c r="J24" i="1"/>
  <c r="I24" i="1"/>
  <c r="F24" i="1" s="1"/>
  <c r="H24" i="1"/>
  <c r="G24" i="1"/>
  <c r="B24" i="1"/>
  <c r="DW23" i="1"/>
  <c r="DV23" i="1"/>
  <c r="N23" i="1"/>
  <c r="L23" i="1"/>
  <c r="K23" i="1"/>
  <c r="J23" i="1"/>
  <c r="I23" i="1"/>
  <c r="F23" i="1" s="1"/>
  <c r="H23" i="1"/>
  <c r="G23" i="1"/>
  <c r="B23" i="1"/>
  <c r="DW22" i="1"/>
  <c r="DV22" i="1"/>
  <c r="N22" i="1"/>
  <c r="L22" i="1"/>
  <c r="K22" i="1"/>
  <c r="J22" i="1"/>
  <c r="I22" i="1"/>
  <c r="F22" i="1" s="1"/>
  <c r="H22" i="1"/>
  <c r="G22" i="1"/>
  <c r="B22" i="1"/>
  <c r="DW21" i="1"/>
  <c r="DV21" i="1"/>
  <c r="N21" i="1"/>
  <c r="L21" i="1"/>
  <c r="K21" i="1"/>
  <c r="J21" i="1"/>
  <c r="I21" i="1"/>
  <c r="F21" i="1" s="1"/>
  <c r="H21" i="1"/>
  <c r="G21" i="1"/>
  <c r="B21" i="1"/>
  <c r="DW20" i="1"/>
  <c r="DV20" i="1"/>
  <c r="N20" i="1"/>
  <c r="L20" i="1"/>
  <c r="K20" i="1"/>
  <c r="J20" i="1"/>
  <c r="I20" i="1"/>
  <c r="F20" i="1" s="1"/>
  <c r="H20" i="1"/>
  <c r="G20" i="1"/>
  <c r="B20" i="1"/>
  <c r="DW19" i="1"/>
  <c r="DV19" i="1"/>
  <c r="N19" i="1"/>
  <c r="L19" i="1"/>
  <c r="K19" i="1"/>
  <c r="J19" i="1"/>
  <c r="I19" i="1"/>
  <c r="F19" i="1" s="1"/>
  <c r="H19" i="1"/>
  <c r="G19" i="1"/>
  <c r="B19" i="1"/>
  <c r="DW18" i="1"/>
  <c r="DV18" i="1"/>
  <c r="N18" i="1"/>
  <c r="L18" i="1"/>
  <c r="K18" i="1"/>
  <c r="J18" i="1"/>
  <c r="I18" i="1"/>
  <c r="F18" i="1" s="1"/>
  <c r="H18" i="1"/>
  <c r="G18" i="1"/>
  <c r="B18" i="1"/>
  <c r="DW17" i="1"/>
  <c r="DV17" i="1"/>
  <c r="N17" i="1"/>
  <c r="L17" i="1"/>
  <c r="K17" i="1"/>
  <c r="J17" i="1"/>
  <c r="I17" i="1"/>
  <c r="F17" i="1" s="1"/>
  <c r="H17" i="1"/>
  <c r="G17" i="1"/>
  <c r="B17" i="1"/>
  <c r="DW16" i="1"/>
  <c r="DV16" i="1"/>
  <c r="N16" i="1"/>
  <c r="L16" i="1"/>
  <c r="K16" i="1"/>
  <c r="J16" i="1"/>
  <c r="I16" i="1"/>
  <c r="F16" i="1" s="1"/>
  <c r="H16" i="1"/>
  <c r="G16" i="1"/>
  <c r="B16" i="1"/>
  <c r="DW15" i="1"/>
  <c r="DV15" i="1"/>
  <c r="N15" i="1"/>
  <c r="L15" i="1"/>
  <c r="K15" i="1"/>
  <c r="J15" i="1"/>
  <c r="I15" i="1"/>
  <c r="F15" i="1" s="1"/>
  <c r="H15" i="1"/>
  <c r="G15" i="1"/>
  <c r="B15" i="1"/>
  <c r="DW14" i="1"/>
  <c r="DV14" i="1"/>
  <c r="N14" i="1"/>
  <c r="L14" i="1"/>
  <c r="K14" i="1"/>
  <c r="J14" i="1"/>
  <c r="I14" i="1"/>
  <c r="F14" i="1" s="1"/>
  <c r="H14" i="1"/>
  <c r="G14" i="1"/>
  <c r="B14" i="1"/>
  <c r="DW13" i="1"/>
  <c r="DV13" i="1"/>
  <c r="N13" i="1"/>
  <c r="L13" i="1"/>
  <c r="K13" i="1"/>
  <c r="J13" i="1"/>
  <c r="I13" i="1"/>
  <c r="F13" i="1" s="1"/>
  <c r="H13" i="1"/>
  <c r="G13" i="1"/>
  <c r="B13" i="1"/>
  <c r="DW12" i="1"/>
  <c r="DV12" i="1"/>
  <c r="N12" i="1"/>
  <c r="L12" i="1"/>
  <c r="K12" i="1"/>
  <c r="J12" i="1"/>
  <c r="I12" i="1"/>
  <c r="F12" i="1" s="1"/>
  <c r="H12" i="1"/>
  <c r="G12" i="1"/>
  <c r="B12" i="1"/>
  <c r="DW11" i="1"/>
  <c r="DV11" i="1"/>
  <c r="N11" i="1"/>
  <c r="L11" i="1"/>
  <c r="K11" i="1"/>
  <c r="J11" i="1"/>
  <c r="I11" i="1"/>
  <c r="F11" i="1" s="1"/>
  <c r="H11" i="1"/>
  <c r="G11" i="1"/>
  <c r="B11" i="1"/>
  <c r="DW10" i="1"/>
  <c r="DV10" i="1"/>
  <c r="N10" i="1"/>
  <c r="L10" i="1"/>
  <c r="K10" i="1"/>
  <c r="J10" i="1"/>
  <c r="I10" i="1"/>
  <c r="F10" i="1" s="1"/>
  <c r="H10" i="1"/>
  <c r="G10" i="1"/>
  <c r="B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DW9" i="1"/>
  <c r="DV9" i="1"/>
  <c r="N9" i="1"/>
  <c r="L9" i="1"/>
  <c r="K9" i="1"/>
  <c r="J9" i="1"/>
  <c r="I9" i="1"/>
  <c r="F9" i="1" s="1"/>
  <c r="H9" i="1"/>
  <c r="G9" i="1"/>
  <c r="B9" i="1"/>
  <c r="F7" i="1"/>
  <c r="D7" i="1"/>
  <c r="F6" i="1"/>
  <c r="D6" i="1"/>
  <c r="D5" i="1"/>
  <c r="O33" i="1" l="1"/>
  <c r="O45" i="1"/>
  <c r="O49" i="1"/>
  <c r="O46" i="1"/>
  <c r="O47" i="1"/>
  <c r="O48" i="1"/>
  <c r="M20" i="1"/>
  <c r="M28" i="1"/>
  <c r="M36" i="1"/>
  <c r="M44" i="1"/>
  <c r="M13" i="1"/>
  <c r="M15" i="1"/>
  <c r="M21" i="1"/>
  <c r="M23" i="1"/>
  <c r="M25" i="1"/>
  <c r="M29" i="1"/>
  <c r="M31" i="1"/>
  <c r="M37" i="1"/>
  <c r="M39" i="1"/>
  <c r="M41" i="1"/>
  <c r="M17" i="1"/>
  <c r="M12" i="1"/>
  <c r="M22" i="1"/>
  <c r="M33" i="1"/>
  <c r="M30" i="1"/>
  <c r="M38" i="1"/>
  <c r="M9" i="1"/>
  <c r="M11" i="1"/>
  <c r="M14" i="1"/>
  <c r="M16" i="1"/>
  <c r="M18" i="1"/>
  <c r="M27" i="1"/>
  <c r="M32" i="1"/>
  <c r="M34" i="1"/>
  <c r="M43" i="1"/>
  <c r="M10" i="1"/>
  <c r="M19" i="1"/>
  <c r="M24" i="1"/>
  <c r="M26" i="1"/>
  <c r="M35" i="1"/>
  <c r="M40" i="1"/>
  <c r="M42" i="1"/>
  <c r="P8" i="1"/>
  <c r="R8" i="1" s="1"/>
  <c r="T8" i="1" s="1"/>
  <c r="V8" i="1" s="1"/>
  <c r="X8" i="1" s="1"/>
  <c r="Z8" i="1" s="1"/>
  <c r="AB8" i="1" s="1"/>
  <c r="AD8" i="1" s="1"/>
  <c r="AF8" i="1" s="1"/>
  <c r="AH8" i="1" s="1"/>
  <c r="AJ8" i="1" s="1"/>
  <c r="AL8" i="1" s="1"/>
  <c r="AN8" i="1" s="1"/>
  <c r="AP8" i="1" s="1"/>
  <c r="AR8" i="1" s="1"/>
  <c r="AT8" i="1" s="1"/>
  <c r="AV8" i="1" s="1"/>
  <c r="AX8" i="1" s="1"/>
  <c r="AZ8" i="1" s="1"/>
  <c r="BB8" i="1" s="1"/>
  <c r="BD8" i="1" s="1"/>
  <c r="BF8" i="1" s="1"/>
  <c r="BH8" i="1" s="1"/>
  <c r="BJ8" i="1" s="1"/>
  <c r="BL8" i="1" s="1"/>
  <c r="BN8" i="1" s="1"/>
  <c r="BP8" i="1" s="1"/>
  <c r="BR8" i="1" s="1"/>
  <c r="BT8" i="1" s="1"/>
  <c r="BV8" i="1" s="1"/>
  <c r="BX8" i="1" s="1"/>
  <c r="BZ8" i="1" s="1"/>
  <c r="CB8" i="1" s="1"/>
  <c r="CD8" i="1" s="1"/>
  <c r="CF8" i="1" s="1"/>
  <c r="CH8" i="1" s="1"/>
  <c r="CJ8" i="1" s="1"/>
  <c r="CL8" i="1" s="1"/>
  <c r="CN8" i="1" s="1"/>
  <c r="CP8" i="1" s="1"/>
  <c r="CR8" i="1" s="1"/>
  <c r="CT8" i="1" s="1"/>
  <c r="CV8" i="1" s="1"/>
  <c r="P7" i="1"/>
  <c r="Q8" i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AQ8" i="1" s="1"/>
  <c r="AS8" i="1" s="1"/>
  <c r="AU8" i="1" s="1"/>
  <c r="AW8" i="1" s="1"/>
  <c r="AY8" i="1" s="1"/>
  <c r="BA8" i="1" s="1"/>
  <c r="BC8" i="1" s="1"/>
  <c r="BE8" i="1" s="1"/>
  <c r="BG8" i="1" s="1"/>
  <c r="BI8" i="1" s="1"/>
  <c r="BK8" i="1" s="1"/>
  <c r="BM8" i="1" s="1"/>
  <c r="BO8" i="1" s="1"/>
  <c r="BQ8" i="1" s="1"/>
  <c r="BS8" i="1" s="1"/>
  <c r="BU8" i="1" s="1"/>
  <c r="BW8" i="1" s="1"/>
  <c r="BY8" i="1" s="1"/>
  <c r="CA8" i="1" s="1"/>
  <c r="CC8" i="1" s="1"/>
  <c r="CE8" i="1" s="1"/>
  <c r="CG8" i="1" s="1"/>
  <c r="CI8" i="1" s="1"/>
  <c r="CK8" i="1" s="1"/>
  <c r="CM8" i="1" s="1"/>
  <c r="CO8" i="1" s="1"/>
  <c r="CQ8" i="1" s="1"/>
  <c r="CS8" i="1" s="1"/>
  <c r="CU8" i="1" s="1"/>
  <c r="CW8" i="1" s="1"/>
  <c r="Q7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4" i="1"/>
  <c r="O35" i="1"/>
  <c r="O36" i="1"/>
  <c r="O37" i="1"/>
  <c r="O38" i="1"/>
  <c r="O39" i="1"/>
  <c r="O40" i="1"/>
  <c r="O41" i="1"/>
  <c r="O42" i="1"/>
  <c r="O43" i="1"/>
  <c r="O44" i="1"/>
  <c r="S7" i="1" l="1"/>
  <c r="Q6" i="1"/>
  <c r="R7" i="1"/>
  <c r="P6" i="1"/>
  <c r="T7" i="1" l="1"/>
  <c r="R6" i="1"/>
  <c r="U7" i="1"/>
  <c r="S6" i="1"/>
  <c r="W7" i="1" l="1"/>
  <c r="U6" i="1"/>
  <c r="V7" i="1"/>
  <c r="T6" i="1"/>
  <c r="X7" i="1" l="1"/>
  <c r="V6" i="1"/>
  <c r="Y7" i="1"/>
  <c r="W6" i="1"/>
  <c r="AA7" i="1" l="1"/>
  <c r="Y6" i="1"/>
  <c r="Z7" i="1"/>
  <c r="X6" i="1"/>
  <c r="AB7" i="1" l="1"/>
  <c r="Z6" i="1"/>
  <c r="AC7" i="1"/>
  <c r="AA6" i="1"/>
  <c r="AE7" i="1" l="1"/>
  <c r="AC6" i="1"/>
  <c r="AD7" i="1"/>
  <c r="AB6" i="1"/>
  <c r="AF7" i="1" l="1"/>
  <c r="AD6" i="1"/>
  <c r="AG7" i="1"/>
  <c r="AE6" i="1"/>
  <c r="AI7" i="1" l="1"/>
  <c r="AG6" i="1"/>
  <c r="AH7" i="1"/>
  <c r="AF6" i="1"/>
  <c r="AJ7" i="1" l="1"/>
  <c r="AH6" i="1"/>
  <c r="AK7" i="1"/>
  <c r="AI6" i="1"/>
  <c r="AM7" i="1" l="1"/>
  <c r="AK6" i="1"/>
  <c r="AL7" i="1"/>
  <c r="AJ6" i="1"/>
  <c r="AN7" i="1" l="1"/>
  <c r="AL6" i="1"/>
  <c r="AO7" i="1"/>
  <c r="AM6" i="1"/>
  <c r="AQ7" i="1" l="1"/>
  <c r="AO6" i="1"/>
  <c r="AP7" i="1"/>
  <c r="AN6" i="1"/>
  <c r="AR7" i="1" l="1"/>
  <c r="AP6" i="1"/>
  <c r="AS7" i="1"/>
  <c r="AQ6" i="1"/>
  <c r="AU7" i="1" l="1"/>
  <c r="AS6" i="1"/>
  <c r="AT7" i="1"/>
  <c r="AR6" i="1"/>
  <c r="AV7" i="1" l="1"/>
  <c r="AT6" i="1"/>
  <c r="AW7" i="1"/>
  <c r="AU6" i="1"/>
  <c r="AY7" i="1" l="1"/>
  <c r="AW6" i="1"/>
  <c r="AX7" i="1"/>
  <c r="AV6" i="1"/>
  <c r="AZ7" i="1" l="1"/>
  <c r="AX6" i="1"/>
  <c r="BA7" i="1"/>
  <c r="AY6" i="1"/>
  <c r="BC7" i="1" l="1"/>
  <c r="BA6" i="1"/>
  <c r="BB7" i="1"/>
  <c r="AZ6" i="1"/>
  <c r="BD7" i="1" l="1"/>
  <c r="BB6" i="1"/>
  <c r="BE7" i="1"/>
  <c r="BC6" i="1"/>
  <c r="BG7" i="1" l="1"/>
  <c r="BE6" i="1"/>
  <c r="BF7" i="1"/>
  <c r="BD6" i="1"/>
  <c r="BH7" i="1" l="1"/>
  <c r="BF6" i="1"/>
  <c r="BI7" i="1"/>
  <c r="BG6" i="1"/>
  <c r="BK7" i="1" l="1"/>
  <c r="BI6" i="1"/>
  <c r="BJ7" i="1"/>
  <c r="BH6" i="1"/>
  <c r="BL7" i="1" l="1"/>
  <c r="BJ6" i="1"/>
  <c r="BM7" i="1"/>
  <c r="BK6" i="1"/>
  <c r="BO7" i="1" l="1"/>
  <c r="BM6" i="1"/>
  <c r="BN7" i="1"/>
  <c r="BL6" i="1"/>
  <c r="BP7" i="1" l="1"/>
  <c r="BN6" i="1"/>
  <c r="BQ7" i="1"/>
  <c r="BO6" i="1"/>
  <c r="BS7" i="1" l="1"/>
  <c r="BQ6" i="1"/>
  <c r="BR7" i="1"/>
  <c r="BP6" i="1"/>
  <c r="BT7" i="1" l="1"/>
  <c r="BR6" i="1"/>
  <c r="BU7" i="1"/>
  <c r="BS6" i="1"/>
  <c r="BW7" i="1" l="1"/>
  <c r="BU6" i="1"/>
  <c r="BV7" i="1"/>
  <c r="BT6" i="1"/>
  <c r="BX7" i="1" l="1"/>
  <c r="BV6" i="1"/>
  <c r="BY7" i="1"/>
  <c r="BW6" i="1"/>
  <c r="CA7" i="1" l="1"/>
  <c r="BY6" i="1"/>
  <c r="BZ7" i="1"/>
  <c r="BX6" i="1"/>
  <c r="CB7" i="1" l="1"/>
  <c r="BZ6" i="1"/>
  <c r="CC7" i="1"/>
  <c r="CA6" i="1"/>
  <c r="CE7" i="1" l="1"/>
  <c r="CC6" i="1"/>
  <c r="CD7" i="1"/>
  <c r="CB6" i="1"/>
  <c r="CF7" i="1" l="1"/>
  <c r="CD6" i="1"/>
  <c r="CG7" i="1"/>
  <c r="CE6" i="1"/>
  <c r="CI7" i="1" l="1"/>
  <c r="CG6" i="1"/>
  <c r="CH7" i="1"/>
  <c r="CF6" i="1"/>
  <c r="CJ7" i="1" l="1"/>
  <c r="CH6" i="1"/>
  <c r="CK7" i="1"/>
  <c r="CI6" i="1"/>
  <c r="CM7" i="1" l="1"/>
  <c r="CK6" i="1"/>
  <c r="CL7" i="1"/>
  <c r="CJ6" i="1"/>
  <c r="CN7" i="1" l="1"/>
  <c r="CL6" i="1"/>
  <c r="CO7" i="1"/>
  <c r="CM6" i="1"/>
  <c r="CQ7" i="1" l="1"/>
  <c r="CO6" i="1"/>
  <c r="CP7" i="1"/>
  <c r="CN6" i="1"/>
  <c r="CR7" i="1" l="1"/>
  <c r="CP6" i="1"/>
  <c r="CS7" i="1"/>
  <c r="CQ6" i="1"/>
  <c r="CU7" i="1" l="1"/>
  <c r="CS6" i="1"/>
  <c r="CT7" i="1"/>
  <c r="CR6" i="1"/>
  <c r="CV7" i="1" l="1"/>
  <c r="CV6" i="1" s="1"/>
  <c r="CT6" i="1"/>
  <c r="CW7" i="1"/>
  <c r="CW6" i="1" s="1"/>
  <c r="CU6" i="1"/>
</calcChain>
</file>

<file path=xl/sharedStrings.xml><?xml version="1.0" encoding="utf-8"?>
<sst xmlns="http://schemas.openxmlformats.org/spreadsheetml/2006/main" count="1469" uniqueCount="403">
  <si>
    <r>
      <rPr>
        <b/>
        <sz val="10"/>
        <color theme="1"/>
        <rFont val="Quattrocento Sans"/>
      </rPr>
      <t xml:space="preserve">SERVICIO NACIONAL DE APRENDIZAJE 
</t>
    </r>
    <r>
      <rPr>
        <sz val="10"/>
        <color theme="1"/>
        <rFont val="Segoe UI"/>
        <family val="2"/>
      </rPr>
      <t>CENTRO DE GESTION DE MERCADOS, LOGISTICA Y TEGNOLOGIAS DE LA INFORMACIÓN</t>
    </r>
    <r>
      <rPr>
        <sz val="10"/>
        <color rgb="FF2F5496"/>
        <rFont val="Segoe UI"/>
        <family val="2"/>
      </rPr>
      <t xml:space="preserve">
</t>
    </r>
    <r>
      <rPr>
        <b/>
        <u/>
        <sz val="10"/>
        <color rgb="FF2F5496"/>
        <rFont val="Segoe UI"/>
        <family val="2"/>
      </rPr>
      <t>SEGUIMIENTO DE INASISTENCIAS</t>
    </r>
  </si>
  <si>
    <t>ACTIVIDADES DE PROYECTO</t>
  </si>
  <si>
    <t>CIERRE DE AÑO ESCOLAR</t>
  </si>
  <si>
    <t>TOTAL APRENDICES MATRICULADOS:</t>
  </si>
  <si>
    <t>GUÍAS</t>
  </si>
  <si>
    <t>PROGRAMA DE FORMACIÓN:</t>
  </si>
  <si>
    <t>COMPETENCIAS</t>
  </si>
  <si>
    <t>INSTRUCTOR SENA:</t>
  </si>
  <si>
    <t>RESULTADOS DE APRENDIZAJE</t>
  </si>
  <si>
    <t>CE</t>
  </si>
  <si>
    <t>CON EXCUSA</t>
  </si>
  <si>
    <t>SE</t>
  </si>
  <si>
    <t>SIN EXCUSA</t>
  </si>
  <si>
    <t>INSTITUCIÓN EDUCATIVA:</t>
  </si>
  <si>
    <t>FICHA O GRUPO:</t>
  </si>
  <si>
    <t>GRADO:</t>
  </si>
  <si>
    <t>HORAS TOTALES DE INASISTENCIAS MENSUAL DEL APRENDIZ</t>
  </si>
  <si>
    <t>PRIMER DÍA DE FORMACIÓN:</t>
  </si>
  <si>
    <t>SEGUNDO DÍA DE FORMACIÓN: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</si>
  <si>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</si>
  <si>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</si>
  <si>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</si>
  <si>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</si>
  <si>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</si>
  <si>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</si>
  <si>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</si>
  <si>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</si>
  <si>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</si>
  <si>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</si>
  <si>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</si>
  <si>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</si>
  <si>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</si>
  <si>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No</t>
  </si>
  <si>
    <t>TIP_DOC</t>
  </si>
  <si>
    <t>IDENTIFICACIÓN</t>
  </si>
  <si>
    <t>NOMBRES Y APELLIDOS</t>
  </si>
  <si>
    <t>ESTADO</t>
  </si>
  <si>
    <t>ALETA DE INASISTENCIAS Y OBSEVACIONES</t>
  </si>
  <si>
    <t>A</t>
  </si>
  <si>
    <t>INC</t>
  </si>
  <si>
    <t>LIC</t>
  </si>
  <si>
    <t>CLM</t>
  </si>
  <si>
    <t>SFF</t>
  </si>
  <si>
    <t>RET</t>
  </si>
  <si>
    <t>% INASISTENCIAS</t>
  </si>
  <si>
    <t>PROGRMAS</t>
  </si>
  <si>
    <t>EN FORMACIÓN</t>
  </si>
  <si>
    <t>1 VENTA DE PRODUCTOS EN LINEA. 632201. v1</t>
  </si>
  <si>
    <t>2 ASESORIA COMERCIAL. 631101. V2</t>
  </si>
  <si>
    <t>3 INTEGRACION DE OPERACIONES LOGISTICAS. 137136. v1</t>
  </si>
  <si>
    <t>4 OPERACIONES DE COMERCIO EXTERIOR. 134600. v1</t>
  </si>
  <si>
    <t>5 SISTEMAS TELEINFORMÁTICOS. 233108. v1</t>
  </si>
  <si>
    <t>6 INSTALACION DE REDES DE COMPUTADORES. 233102. v1</t>
  </si>
  <si>
    <t>7 INTEGRACION DE CONTENIDOS DIGITALES. 524704. v1</t>
  </si>
  <si>
    <t>8 PROGRAMACIÓN DE APLICACIONES PARA DISPOSITIVOS MÓVILES. 228123. v1</t>
  </si>
  <si>
    <t>9 PROGRAMACIÓN DE APLICACIONES Y SERVICIOS PARA LA NUBE. 228122. v1</t>
  </si>
  <si>
    <t>10 PROGRAMACION DE SOFTWARE. 233104. v2</t>
  </si>
  <si>
    <t>11 SERVICE OPERATION IN BILINGUAL BPO CHANNELS. 137500. v1</t>
  </si>
  <si>
    <t>12 COMUNICACIÓN COMERCIAL Y MARKETING.</t>
  </si>
  <si>
    <t>ASIATE</t>
  </si>
  <si>
    <t>INCAPACIDAD</t>
  </si>
  <si>
    <t>LICENCIA</t>
  </si>
  <si>
    <t>CALAMIDAD</t>
  </si>
  <si>
    <t>SIN FORMACIÓN O FERIADOS</t>
  </si>
  <si>
    <t>RETIRADO</t>
  </si>
  <si>
    <r>
      <rPr>
        <b/>
        <sz val="11"/>
        <color theme="1"/>
        <rFont val="Arial"/>
        <family val="2"/>
      </rPr>
      <t xml:space="preserve">NÚMERO DE FORMACIÓN POR SEMANA </t>
    </r>
    <r>
      <rPr>
        <sz val="11"/>
        <color theme="1"/>
        <rFont val="Arial"/>
        <family val="2"/>
      </rPr>
      <t xml:space="preserve">(1 </t>
    </r>
    <r>
      <rPr>
        <sz val="8"/>
        <color theme="1"/>
        <rFont val="Arial"/>
        <family val="2"/>
      </rPr>
      <t>Ó</t>
    </r>
    <r>
      <rPr>
        <sz val="11"/>
        <color theme="1"/>
        <rFont val="Arial"/>
        <family val="2"/>
      </rPr>
      <t xml:space="preserve"> 2)</t>
    </r>
    <r>
      <rPr>
        <b/>
        <sz val="11"/>
        <color theme="1"/>
        <rFont val="Arial"/>
        <family val="2"/>
      </rPr>
      <t>:</t>
    </r>
  </si>
  <si>
    <t xml:space="preserve">                                    </t>
  </si>
  <si>
    <r>
      <rPr>
        <b/>
        <sz val="11"/>
        <color theme="1"/>
        <rFont val="Arial"/>
        <family val="2"/>
      </rPr>
      <t xml:space="preserve">PRIMER DÍA DE FORMACIÓN </t>
    </r>
    <r>
      <rPr>
        <sz val="11"/>
        <color theme="1"/>
        <rFont val="Arial"/>
        <family val="2"/>
      </rPr>
      <t>(dd/mm/aaaa)</t>
    </r>
    <r>
      <rPr>
        <b/>
        <sz val="11"/>
        <color theme="1"/>
        <rFont val="Arial"/>
        <family val="2"/>
      </rPr>
      <t>:</t>
    </r>
  </si>
  <si>
    <t>CORREO INSTRUCTOR:</t>
  </si>
  <si>
    <r>
      <rPr>
        <b/>
        <sz val="11"/>
        <color theme="1"/>
        <rFont val="Arial"/>
        <family val="2"/>
      </rPr>
      <t xml:space="preserve">SEGUNDO DÍA DE FORMACIÓN </t>
    </r>
    <r>
      <rPr>
        <sz val="11"/>
        <color theme="1"/>
        <rFont val="Arial"/>
        <family val="2"/>
      </rPr>
      <t>(dd/mm/aaaa)</t>
    </r>
    <r>
      <rPr>
        <b/>
        <sz val="11"/>
        <color theme="1"/>
        <rFont val="Arial"/>
        <family val="2"/>
      </rPr>
      <t>:</t>
    </r>
  </si>
  <si>
    <r>
      <rPr>
        <b/>
        <sz val="11"/>
        <color theme="1"/>
        <rFont val="Arial"/>
        <family val="2"/>
      </rPr>
      <t xml:space="preserve">GRADO </t>
    </r>
    <r>
      <rPr>
        <sz val="11"/>
        <color theme="1"/>
        <rFont val="Arial"/>
        <family val="2"/>
      </rPr>
      <t>(11)</t>
    </r>
    <r>
      <rPr>
        <b/>
        <sz val="11"/>
        <color theme="1"/>
        <rFont val="Arial"/>
        <family val="2"/>
      </rPr>
      <t>:</t>
    </r>
  </si>
  <si>
    <t>LINK PORTAFOLIO INSTRUCTOR:</t>
  </si>
  <si>
    <t>No de documento de identidad</t>
  </si>
  <si>
    <t>Correo electrónico @soy.sena.edu.co</t>
  </si>
  <si>
    <t>Correo  electrónico alterno</t>
  </si>
  <si>
    <t>Teléfono de contacto</t>
  </si>
  <si>
    <t>Nombres completos del acudiente</t>
  </si>
  <si>
    <t>Teléfono de Acudiente</t>
  </si>
  <si>
    <t xml:space="preserve">                                </t>
  </si>
  <si>
    <t xml:space="preserve">GRUPOS DE TRABAJO </t>
  </si>
  <si>
    <t>N° 1</t>
  </si>
  <si>
    <t xml:space="preserve">NOMBRE </t>
  </si>
  <si>
    <t>APELLIDO</t>
  </si>
  <si>
    <t xml:space="preserve">CORREO </t>
  </si>
  <si>
    <t xml:space="preserve">N° 2 </t>
  </si>
  <si>
    <t xml:space="preserve">N° 3 </t>
  </si>
  <si>
    <t xml:space="preserve">N° 4 </t>
  </si>
  <si>
    <t>N° 5</t>
  </si>
  <si>
    <t>N° 6</t>
  </si>
  <si>
    <t>Caren Sofía Acevedo Cortés</t>
  </si>
  <si>
    <t>Helen Natalia Aperador Abaunza</t>
  </si>
  <si>
    <t>Paula Valentina Ardila Franco</t>
  </si>
  <si>
    <t>Damián Felipe Benavides Pérez</t>
  </si>
  <si>
    <t>Nicolas Castillo Merchán</t>
  </si>
  <si>
    <t>Valentina Cespedes Pulido</t>
  </si>
  <si>
    <t>Yuranny Alexandra García Rincón</t>
  </si>
  <si>
    <t>Laura Camila Gómez Beltrán</t>
  </si>
  <si>
    <t>Estefanía Martínez Romero</t>
  </si>
  <si>
    <t>Julián Rodrigo Muñoz Celeita</t>
  </si>
  <si>
    <t>José Luis Ochoa Bayona</t>
  </si>
  <si>
    <t>María Camila Buitrago Rengifo</t>
  </si>
  <si>
    <t>Danna Sofia Calderón Moreno</t>
  </si>
  <si>
    <t>Angie Ximena Camacho Bejarano</t>
  </si>
  <si>
    <t>Dilan Santiago Contreras Gutiérrez</t>
  </si>
  <si>
    <t>Álvaro Andrés Cuello Hernández</t>
  </si>
  <si>
    <t>Angie Liseth Gaitán Cárdenas</t>
  </si>
  <si>
    <t>Nicoll Mariana García Romero</t>
  </si>
  <si>
    <t>Mariana Gutiérrez Guzmán</t>
  </si>
  <si>
    <t>Aslhey Yijam Jaramillo Álvarez</t>
  </si>
  <si>
    <t>Santiago Lizcano Pulido</t>
  </si>
  <si>
    <t>Silvana Montien Beltrán</t>
  </si>
  <si>
    <t>Tania Valentina Ramos Villada</t>
  </si>
  <si>
    <t>Janny Sofia Ariza Marín</t>
  </si>
  <si>
    <t>David Alejandro Betancur Maldonado</t>
  </si>
  <si>
    <t>Meriet Maryan Cárdenas Escorcia</t>
  </si>
  <si>
    <t>Sara Nykol Caro Castillo</t>
  </si>
  <si>
    <t>Duver Stiven Castañeda García</t>
  </si>
  <si>
    <t>Isabella Hernández Gómez</t>
  </si>
  <si>
    <t>Valeria Herrera García</t>
  </si>
  <si>
    <t>Brayan Stiven Martínez Esquivel</t>
  </si>
  <si>
    <t>Lizeth Tatiana Martínez Ramírez</t>
  </si>
  <si>
    <t>Gabriela Quinchía Torres</t>
  </si>
  <si>
    <t>Andrés Felipe Romero Rojas</t>
  </si>
  <si>
    <t>Sara Sofia Romero Trujillo</t>
  </si>
  <si>
    <t>Samuel Alejandro Sanabria Montoya</t>
  </si>
  <si>
    <t>Samuel Alejandro Tapiero Márquez</t>
  </si>
  <si>
    <t>Julman Santiago Vargas Castiblanco</t>
  </si>
  <si>
    <t>CARLOS ALBERTO SALCEDO DURAN</t>
  </si>
  <si>
    <t>csalcedo@sena.edu.co</t>
  </si>
  <si>
    <t>COLEGIO JUAN LUIS LONDOÑO I.E.D. LA SALLE</t>
  </si>
  <si>
    <t>https://sena4-my.sharepoint.com/personal/apuentes_sena_edu_co/_layouts/15/onedrive.aspx?id=%2Fpersonal%2Fapuentes%5Fsena%5Fedu%5Fco%2FDocuments%2FA%C3%91O%202026%2FSUPERVISION%20CUENTAS%20DE%20COBRO%20ARTICULACION%202026%2FCARLOS%20ALBERTO%20SALCEDO%20DURAN%2FPORTAFOLIO%5FDE%5FEVIDENCIAS%5FCARLOS%5FALBERTO%5FSALCEDO%5FDURAN&amp;viewid=f99452b8%2D8171%2D424a%2D90f1%2D23fef74632a4&amp;sharingv2=true&amp;fromShare=true&amp;at=9&amp;CT=1773430642882&amp;OR=OWA%2DNT%2DMail&amp;CID=4411b7ab%2D33a1%2Dbbca%2D929a%2D088530d86f2c&amp;clickParams=eyJYLUFwcE5hbWUiOiJNaWNyb3NvZnQgT3V0bG9vayBXZWIgQXBwIiwiWC1BcHBWZXJzaW9uIjoiMjAyNjAzMDYwMDEuMDQiLCJPUyI6IldpbmRvd3MgMTAifQ%3D%3D&amp;cidOR=Client&amp;FolderCTID=0x012000E2906DDFB502D74489C2F02AFF66F283</t>
  </si>
  <si>
    <t xml:space="preserve">COMUNICACIÓN Y MARKETING </t>
  </si>
  <si>
    <t>Andrés Rodríguez Salinas</t>
  </si>
  <si>
    <t>Erick Santiago Salazar Rojuela</t>
  </si>
  <si>
    <t>CC</t>
  </si>
  <si>
    <t>TI</t>
  </si>
  <si>
    <t>carenacevedo2011@gmail.com</t>
  </si>
  <si>
    <t>helennatalia145@gmail.com</t>
  </si>
  <si>
    <t>ardillapaula92@gmail.com</t>
  </si>
  <si>
    <t>jannyariza343@gmail.com</t>
  </si>
  <si>
    <t>damianbenavides684@gmail.com</t>
  </si>
  <si>
    <t>dbetancur779@gmail.com</t>
  </si>
  <si>
    <t>mariacamilabuitragorengifo15@gmail.com</t>
  </si>
  <si>
    <t>solecitocalderon2708@gmail.com</t>
  </si>
  <si>
    <t>angiebejarano0910@gmail.com</t>
  </si>
  <si>
    <t>merietmaryan0515@gmail.com</t>
  </si>
  <si>
    <t>duver0224@gmail.com</t>
  </si>
  <si>
    <t>nicolascm1028@gmail.com</t>
  </si>
  <si>
    <t>valcespedes08@gmail.com</t>
  </si>
  <si>
    <t>contreras.gutierrez7dilan@gmail.com</t>
  </si>
  <si>
    <t>alvarocuello575@gmail.com</t>
  </si>
  <si>
    <t>angiegaitan591@gmail.com</t>
  </si>
  <si>
    <t>yurannygarciar@gmail.com</t>
  </si>
  <si>
    <t>nmgarcia152009@gmail.com</t>
  </si>
  <si>
    <t>gomezbeltranlauracamila@gmail.com</t>
  </si>
  <si>
    <t>mari.ggutierrez41@gmail.com</t>
  </si>
  <si>
    <t>hernandezgomezisabella8@gmail.com</t>
  </si>
  <si>
    <t>valeriaherreragarcia51@gmail.com</t>
  </si>
  <si>
    <t>jaramilloasly4@gmail.com</t>
  </si>
  <si>
    <t>santiagolizcanopulido14@gmail.com</t>
  </si>
  <si>
    <t>esquibelbrayanextiven@gmail.com</t>
  </si>
  <si>
    <t>ramirezlizethtm23@gmail.com</t>
  </si>
  <si>
    <t>estefaniamartinezromero22@gmail.com</t>
  </si>
  <si>
    <t>silvanamontien@gmail.com</t>
  </si>
  <si>
    <t>julianrmcxd@gmail.com</t>
  </si>
  <si>
    <t>joseochoa7020@gmail.com</t>
  </si>
  <si>
    <t>jennieisjenniein@gmail.com</t>
  </si>
  <si>
    <t>valentinavillada815@gmail.com</t>
  </si>
  <si>
    <t>rodriguezsalinasandres10@gmail.com</t>
  </si>
  <si>
    <t>andresfeliperomerorojas067@gmail.com</t>
  </si>
  <si>
    <t>sararomerot07@gmail.com</t>
  </si>
  <si>
    <t>salazarorjuelaericksantiago@gmail.com</t>
  </si>
  <si>
    <t>samuelsanabria458@gmail.com</t>
  </si>
  <si>
    <t>sam.alejo.602@gmail.com</t>
  </si>
  <si>
    <t>santiago0212casti@gmail.com</t>
  </si>
  <si>
    <t>mv8218407@gmail.com</t>
  </si>
  <si>
    <t>315 2292703</t>
  </si>
  <si>
    <t>301 9088743</t>
  </si>
  <si>
    <t>302 6972693</t>
  </si>
  <si>
    <t>312 3977930</t>
  </si>
  <si>
    <t>322 4528939</t>
  </si>
  <si>
    <t>322 2860358</t>
  </si>
  <si>
    <t>Yuly Yalile Cortés</t>
  </si>
  <si>
    <t>Sonia Abaunza Camacho</t>
  </si>
  <si>
    <t>Paola Andrea Franco</t>
  </si>
  <si>
    <t>Luz Adriana Marín Rodríguez</t>
  </si>
  <si>
    <t>Luz Yineth Pérez Pineda</t>
  </si>
  <si>
    <t>Denes Maldonado Álvarez</t>
  </si>
  <si>
    <t>Paula Andrea</t>
  </si>
  <si>
    <t>Yenny Carolina Moreno Niño</t>
  </si>
  <si>
    <t>Amparo Bejarano Londoño</t>
  </si>
  <si>
    <t>Herlin Escorcia Flórez</t>
  </si>
  <si>
    <t>Marisela Castillo</t>
  </si>
  <si>
    <t>Amanda García Niño</t>
  </si>
  <si>
    <t>Jennifer Andrea Merchán Cubillos</t>
  </si>
  <si>
    <t>Yuri Pulido</t>
  </si>
  <si>
    <t>Ivon Contreras</t>
  </si>
  <si>
    <t>Mailen Hernández</t>
  </si>
  <si>
    <t>Cindy Lorena Cárdenas Aldana</t>
  </si>
  <si>
    <t>Ramiro García García</t>
  </si>
  <si>
    <t>Cathalina García Romero</t>
  </si>
  <si>
    <t>Yesenia Milena Beltrán Murcia</t>
  </si>
  <si>
    <t>Martha Guzmán</t>
  </si>
  <si>
    <t>Jeison David Hernández Rodríguez</t>
  </si>
  <si>
    <t>Luisa Fernanda</t>
  </si>
  <si>
    <t>Katherine Álvarez Ariza</t>
  </si>
  <si>
    <t>Yirleni Esquivel Rojas</t>
  </si>
  <si>
    <t>Bellanira Ramírez</t>
  </si>
  <si>
    <t>Luz Angela Romero Sarmiento</t>
  </si>
  <si>
    <t>Martha Elizabeth</t>
  </si>
  <si>
    <t>Jairo Andrés Muñoz Ordoñez</t>
  </si>
  <si>
    <t>Emilse Bayona</t>
  </si>
  <si>
    <t>Irina</t>
  </si>
  <si>
    <t>Laura Villada</t>
  </si>
  <si>
    <t>Stella</t>
  </si>
  <si>
    <t>Karol Jiseth Rojas Ariza</t>
  </si>
  <si>
    <t>Omar Romero</t>
  </si>
  <si>
    <t>Franci Claudia Orjuela Ritacuba</t>
  </si>
  <si>
    <t>Leivi Montoya Zabala</t>
  </si>
  <si>
    <t>Eduard Oswaldo</t>
  </si>
  <si>
    <t>Jhon Vargas</t>
  </si>
  <si>
    <t>Paula Andrea Morales Hernández</t>
  </si>
  <si>
    <t>yulycortes1989@gmail.com</t>
  </si>
  <si>
    <t>soniaac21@yahoo.es</t>
  </si>
  <si>
    <t>paoariasfranco@gmail.com</t>
  </si>
  <si>
    <t>adri-09-27@hotmail.com</t>
  </si>
  <si>
    <t>yinethp36@gmail.com</t>
  </si>
  <si>
    <t>denismaldonado448@gmail.com</t>
  </si>
  <si>
    <t>pandrea@homail.es</t>
  </si>
  <si>
    <t>hasgly1402@hotmail.com</t>
  </si>
  <si>
    <t>amparobejarano27@gmail.com</t>
  </si>
  <si>
    <t>yanithescorciaflorez@gmail.com</t>
  </si>
  <si>
    <t>castillomarisela704@gmail.com</t>
  </si>
  <si>
    <t>amandagarcia2924@gmail.com</t>
  </si>
  <si>
    <t>andrea20_taz@hotmail.com</t>
  </si>
  <si>
    <t>josmirth@hotmail.com</t>
  </si>
  <si>
    <t>ivoncontreras857@gmail.com</t>
  </si>
  <si>
    <t>mailensofiahernandeznaranjo@gmail.com</t>
  </si>
  <si>
    <t>ramirogarcia1970g@gmail.com</t>
  </si>
  <si>
    <t>micata89@hotmail.com</t>
  </si>
  <si>
    <t>yeseniam.beltran@gmail.com</t>
  </si>
  <si>
    <t>mari.1.99guti@gamil.com</t>
  </si>
  <si>
    <t>jeisondavidhernanderodriguez@gmail.com</t>
  </si>
  <si>
    <t>luisafernandavsj@gmail.com</t>
  </si>
  <si>
    <t>katerinealvarez710@gmail.com</t>
  </si>
  <si>
    <t>santiagolizcanopulido15@gmail.com</t>
  </si>
  <si>
    <t>angelesm1723@hotmail.com</t>
  </si>
  <si>
    <t>bellaniraramirez34@gmail.com</t>
  </si>
  <si>
    <t>angelaromerosar@hotmail.com</t>
  </si>
  <si>
    <t>melizabethbrojas@gmail.com</t>
  </si>
  <si>
    <t>jairojamo@yahoo.es</t>
  </si>
  <si>
    <t>emilsebayona@gmail,com</t>
  </si>
  <si>
    <t>irinapatorres@gmail.com</t>
  </si>
  <si>
    <t>lauravillada815@hotmail.com</t>
  </si>
  <si>
    <t>stellita1178@gmail.com</t>
  </si>
  <si>
    <t>jiseth_123@hotmail.com</t>
  </si>
  <si>
    <t>omar_romero2935@hotmail.com</t>
  </si>
  <si>
    <t>franci,orjuela7@gmail.com</t>
  </si>
  <si>
    <t>sanalejo252@gmail.com</t>
  </si>
  <si>
    <t>jv1022972509@gmail.com</t>
  </si>
  <si>
    <t>319 5917349</t>
  </si>
  <si>
    <t>324 6865193</t>
  </si>
  <si>
    <t>312 3057653</t>
  </si>
  <si>
    <t>350 3930558</t>
  </si>
  <si>
    <t>https://drive.google.com/drive/folders/1nGZCEiw5Qm49-Xyq-Bib6Px6lhUeOG-G</t>
  </si>
  <si>
    <t>https://drive.google.com/drive/folders/1ZL4PBPXSTiR3u2Bi4V1F9TC2DVIZ5g9o</t>
  </si>
  <si>
    <t>https://drive.google.com/drive/folders/1ZfIfpXGemPSqeHKLH-Twhzv0_xsk9yQl?usp=drive_link</t>
  </si>
  <si>
    <t>https://drive.google.com/drive/folders/1WYs9r2fnsVXkMYHEFvgUA0NsCdTyt_3l?usp=drive_link</t>
  </si>
  <si>
    <t>https://drive.google.com/drive/folders/1V3eUw3GG5qnP59dIpkO0Zpfz4zjRgIF7?usp=drive_link</t>
  </si>
  <si>
    <t>https://drive.google.com/drive/folders/1EJGlXAS0_ANqtQ9NdmXZeUbcAOhrhuHx?usp=drive_link</t>
  </si>
  <si>
    <t>https://drive.google.com/drive/folders/1uXVmXhYI4QW9wI74sDIKmCYyUvGmzHxx</t>
  </si>
  <si>
    <t>https://drive.google.com/drive/folders/1AcbqLk7Q2s7D26chVMURfEZ9bejs7qn2?usp=drive_link</t>
  </si>
  <si>
    <t>https://drive.google.com/drive/folders/1d9uAbYo-KmqBOVf2F7WUuJDTkSFrFdLP</t>
  </si>
  <si>
    <t>https://drive.google.com/drive/folders/1zBhVUGl0XMvFV86KTBazXok380bB50Po</t>
  </si>
  <si>
    <t>https://drive.google.com/drive/folders/1tJglmPWO29jTIa-ace4BC-1VLxRO5cMn?usp=sharing</t>
  </si>
  <si>
    <t>https://drive.google.com/drive/folders/1ZHeNila7MLhDDxzs_YpSyEyTCWirr3jW?usp=sharing</t>
  </si>
  <si>
    <t>https://drive.google.com/drive/folders/1rBWJuMCJzMvuZwiR1UlxKfzg3wWDq95I?usp=drive_link</t>
  </si>
  <si>
    <t>https://drive.google.com/drive/folders/1gtA8ezWvBpt_NbjPDvqzm_7urnOZ-rUV?usp=drive_link</t>
  </si>
  <si>
    <t>https://drive.google.com/drive/folders/1yYHDEElaGWcYT1EPeYbdZ8hgaE3vnREG?usp=drive_link</t>
  </si>
  <si>
    <t>https://drive.google.com/drive/folders/1SO8T7_k6tL_jcwaLto6PdAv7PXarxeGR?usp=drive_link</t>
  </si>
  <si>
    <t>https://drive.google.com/drive/folders/1V9AuskusGB-IJr0vpwN0a8ZC_U6OXTtU</t>
  </si>
  <si>
    <t>https://drive.google.com/drive/folders/1Dyn45TKWNEOl_Dd2WIYIG56Kk01XNnvZ?usp=drive_link</t>
  </si>
  <si>
    <t>https://drive.google.com/drive/folders/10W3JOZYnBLERw1Ku3FBXQH17OOqAx6R5</t>
  </si>
  <si>
    <t>https://drive.google.com/drive/folders/1RlVaEfQtuWksxUELcNrtbkfnmBB_ewA2?usp=drive_link</t>
  </si>
  <si>
    <t>https://drive.google.com/drive/folders/1f02s4f2abfecWsAVNxq-JKWVTSe_Fcwf?usp=drive_link</t>
  </si>
  <si>
    <t>https://drive.google.com/drive/folders/1MKS2Pjz3SkTdD0D5xspH19NozqSf-lTF?usp=drive_link</t>
  </si>
  <si>
    <t>https://drive.google.com/drive/folders/1FP-_TliOmzZ3MhU8-Bbo_eRDaN83o4TY</t>
  </si>
  <si>
    <t>https://drive.google.com/drive/folders/1nWdpYQ-PSRyTXOePLle3qe1WC9d0boYc?usp=drive_link</t>
  </si>
  <si>
    <t>https://drive.google.com/drive/folders/1lsWmcKXuQ-dCLXiolPQFHfKumHy9g2Ft?usp=drive_link</t>
  </si>
  <si>
    <t>https://drive.google.com/drive/folders/1SG_j686OH3igwweU5ry4fLa8v0bNS3_r</t>
  </si>
  <si>
    <t>https://drive.google.com/drive/folders/1jKT7qdz0lTZv-6F9Bb-E_GEVrOP9p-mX</t>
  </si>
  <si>
    <t>https://drive.google.com/drive/folders/1ASANrByTkWej1THTr6n5IAtJ2hDYw31l</t>
  </si>
  <si>
    <t>https://drive.google.com/drive/folders/1vgL9rPyPW9TgYYTXGyYhbWykGq3lrA_o?usp=sharing</t>
  </si>
  <si>
    <t>https://drive.google.com/drive/folders/1-_1VRhJ26eR2q2Lo3868pA2FFQHyjP-T?usp=drive_link</t>
  </si>
  <si>
    <t>https://drive.google.com/drive/folders/1k7CkCQY_SSvrR06nZqJn2xiTkeFA6Hzy?usp=sharing</t>
  </si>
  <si>
    <t>https://drive.google.com/drive/folders/1DzLes7pI88slySjOGkzSu0ekTZXmhGQO</t>
  </si>
  <si>
    <t>https://drive.google.com/drive/folders/1YHLb1BEKs_hvbAHvYyvyLo52cSNhUKJ2?usp=sharing</t>
  </si>
  <si>
    <t>https://drive.google.com/drive/folders/1UC6EiJhFr14xOjQaGMP6hCNBu2hoeQTO?usp=drive_link</t>
  </si>
  <si>
    <t>https://drive.google.com/drive/folders/1P7aqDsLUN6nx8C91RrXftsQ-LPvvyD3f?usp=drive_link</t>
  </si>
  <si>
    <t>https://drive.google.com/drive/folders/1lQOaF0ZXnhrQbRyGhr_7c-obiqZjJQrR?usp=drive_link</t>
  </si>
  <si>
    <t>https://drive.google.com/drive/folders/1L26vcQJbWsDIRF7Qvw7E-IAPdRtIBUsm?usp=sharing</t>
  </si>
  <si>
    <t>https://drive.google.com/drive/folders/1i9YWtVix9QDwGuBejYti0hXQW2RBW4bR</t>
  </si>
  <si>
    <t>https://drive.google.com/drive/folders/1hCVM7Z4KZ2p5bj6xBQ4f6VCMMtHsm5tT?usp=drive_link</t>
  </si>
  <si>
    <t>https://drive.google.com/drive/folders/1uTff8ooSWJ_djlCti9DLFFKXV0jSmwVF?usp=drive_link</t>
  </si>
  <si>
    <t>Nombre</t>
  </si>
  <si>
    <t>Correo_Acudiente</t>
  </si>
  <si>
    <t>ID_Drive</t>
  </si>
  <si>
    <t>Tipo de documento</t>
  </si>
  <si>
    <t>Link mal creado</t>
  </si>
  <si>
    <t>No tengo acceso</t>
  </si>
  <si>
    <t xml:space="preserve">Caren Sofía </t>
  </si>
  <si>
    <t>Acevedo Cortés</t>
  </si>
  <si>
    <t>Aslhey Yijam</t>
  </si>
  <si>
    <t xml:space="preserve"> Jaramillo Álvarez</t>
  </si>
  <si>
    <t xml:space="preserve">Helen Natalia </t>
  </si>
  <si>
    <t>Aperador Abaunza</t>
  </si>
  <si>
    <t xml:space="preserve">Estefanía </t>
  </si>
  <si>
    <t>Martínez Romero</t>
  </si>
  <si>
    <t xml:space="preserve">Silvana </t>
  </si>
  <si>
    <t>Montien Beltrán</t>
  </si>
  <si>
    <t>Paula Valentina</t>
  </si>
  <si>
    <t xml:space="preserve"> Ardila Franco</t>
  </si>
  <si>
    <t>Angie Liseth</t>
  </si>
  <si>
    <t xml:space="preserve"> Gaitán Cárdenas</t>
  </si>
  <si>
    <t>N° 7</t>
  </si>
  <si>
    <t>N° 8</t>
  </si>
  <si>
    <t xml:space="preserve">Sara Nykol </t>
  </si>
  <si>
    <t>Caro Castillo</t>
  </si>
  <si>
    <t>carocastillosaranykol@gmail.com</t>
  </si>
  <si>
    <t xml:space="preserve">Andrés </t>
  </si>
  <si>
    <t>Rodríguez Salinas</t>
  </si>
  <si>
    <t xml:space="preserve">Damián Felipe </t>
  </si>
  <si>
    <t>Benavides Pérez</t>
  </si>
  <si>
    <t xml:space="preserve">Julman Santiago </t>
  </si>
  <si>
    <t>Vargas Castiblanco</t>
  </si>
  <si>
    <t xml:space="preserve">Isabella </t>
  </si>
  <si>
    <t>Hernández Gómez</t>
  </si>
  <si>
    <t xml:space="preserve">Dilan Santiago </t>
  </si>
  <si>
    <t>Contreras Gutiérrez</t>
  </si>
  <si>
    <t xml:space="preserve">Brayan Stiven </t>
  </si>
  <si>
    <t>Martínez Esquivel</t>
  </si>
  <si>
    <t xml:space="preserve">David Alejandro </t>
  </si>
  <si>
    <t>Betancur Maldonado</t>
  </si>
  <si>
    <t xml:space="preserve">Danna Sofia </t>
  </si>
  <si>
    <t>Calderón Moreno</t>
  </si>
  <si>
    <t xml:space="preserve">Nicoll Mariana </t>
  </si>
  <si>
    <t>García Romero</t>
  </si>
  <si>
    <t xml:space="preserve">Angie Ximena </t>
  </si>
  <si>
    <t>Camacho Bejarano</t>
  </si>
  <si>
    <t>Quinchía Torre</t>
  </si>
  <si>
    <t xml:space="preserve">Andrés Felipe </t>
  </si>
  <si>
    <t>Romero Rojas</t>
  </si>
  <si>
    <t xml:space="preserve">Álvaro Andrés </t>
  </si>
  <si>
    <t>Cuello Hernández</t>
  </si>
  <si>
    <t xml:space="preserve">Mariana </t>
  </si>
  <si>
    <t>Gutiérrez Guzmán</t>
  </si>
  <si>
    <t xml:space="preserve">María Camila </t>
  </si>
  <si>
    <t>Buitrago Rengifo</t>
  </si>
  <si>
    <t xml:space="preserve">Valentina </t>
  </si>
  <si>
    <t>Cespedes Pulido</t>
  </si>
  <si>
    <t xml:space="preserve">Meriet Maryan </t>
  </si>
  <si>
    <t>Cárdenas Escorcia</t>
  </si>
  <si>
    <t xml:space="preserve">Lizeth Tatiana </t>
  </si>
  <si>
    <t>Martínez Ramírez</t>
  </si>
  <si>
    <t xml:space="preserve">Erick Santiago </t>
  </si>
  <si>
    <t>Salazar Rojuela</t>
  </si>
  <si>
    <t xml:space="preserve">Duver Stiven </t>
  </si>
  <si>
    <t>Castañeda García</t>
  </si>
  <si>
    <t xml:space="preserve">Yuranny Alexandra </t>
  </si>
  <si>
    <t>García Rincón</t>
  </si>
  <si>
    <t xml:space="preserve">Julián Rodrigo </t>
  </si>
  <si>
    <t>Muñoz Celeita</t>
  </si>
  <si>
    <t>Michael Estiben Vargas Morales</t>
  </si>
  <si>
    <t xml:space="preserve">Michael Estiben </t>
  </si>
  <si>
    <t>Vargas Morales</t>
  </si>
  <si>
    <t xml:space="preserve">Samuel Alejandro </t>
  </si>
  <si>
    <t>Tapiero Márquez</t>
  </si>
  <si>
    <t>Samuel Alejandro</t>
  </si>
  <si>
    <t>Sanabria Montoya</t>
  </si>
  <si>
    <t xml:space="preserve">Nicolas </t>
  </si>
  <si>
    <t>Castillo Merchán</t>
  </si>
  <si>
    <t xml:space="preserve">Valeria </t>
  </si>
  <si>
    <t>Herrera García</t>
  </si>
  <si>
    <t xml:space="preserve">Sara Sofia </t>
  </si>
  <si>
    <t>Romero Trujillo</t>
  </si>
  <si>
    <t xml:space="preserve">Tania Valentina </t>
  </si>
  <si>
    <t>Ramos Villada</t>
  </si>
  <si>
    <t>https://drive.google.com/drive/folders/1e5MnNm38wj8rlME9h65wZQxm8wT1fW3i</t>
  </si>
  <si>
    <t>DELI DELI POSTRES</t>
  </si>
  <si>
    <t xml:space="preserve">DULCE FRAGANCIA </t>
  </si>
  <si>
    <t>RITMO CAFÉ</t>
  </si>
  <si>
    <t>DISTRIBUIDORA COLIBRI</t>
  </si>
  <si>
    <t xml:space="preserve">Gabriela </t>
  </si>
  <si>
    <t>BEAUTY LAB</t>
  </si>
  <si>
    <t>KUMENZA</t>
  </si>
  <si>
    <t>JEANSCOLOM</t>
  </si>
  <si>
    <t>SUGAR RUNNER</t>
  </si>
  <si>
    <t xml:space="preserve">José Luis </t>
  </si>
  <si>
    <t>Ochoa Bayona</t>
  </si>
  <si>
    <t>Laura Camila</t>
  </si>
  <si>
    <t>Gómez Beltrán</t>
  </si>
  <si>
    <t xml:space="preserve">Santiago Lizcano </t>
  </si>
  <si>
    <t>Pulido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</si>
</sst>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_);_(* \(#,##0\);_(* &quot;-&quot;_);_(@_)"/>
    <numFmt numFmtId="165" formatCode="d"/>
    <numFmt numFmtId="166" formatCode="ddd"/>
  </numFmts>
  <fonts count="62">
    <font>
      <sz val="12"/>
      <color rgb="FF000000"/>
      <name val="Calibri"/>
      <scheme val="minor"/>
    </font>
    <font>
      <sz val="9"/>
      <color rgb="FF000000"/>
      <name val="Quattrocento Sans"/>
    </font>
    <font>
      <sz val="12"/>
      <name val="Calibri"/>
      <family val="2"/>
    </font>
    <font>
      <b/>
      <sz val="10"/>
      <color theme="1"/>
      <name val="Quattrocento Sans"/>
    </font>
    <font>
      <b/>
      <sz val="8"/>
      <color rgb="FF2F5496"/>
      <name val="Quattrocento Sans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rgb="FF000000"/>
      <name val="Quattrocento Sans"/>
    </font>
    <font>
      <sz val="8"/>
      <color rgb="FF000000"/>
      <name val="Quattrocento Sans"/>
    </font>
    <font>
      <b/>
      <sz val="8"/>
      <color theme="0"/>
      <name val="Quattrocento Sans"/>
    </font>
    <font>
      <sz val="11"/>
      <color rgb="FF000000"/>
      <name val="Arial Narrow"/>
      <family val="2"/>
    </font>
    <font>
      <b/>
      <sz val="8"/>
      <color rgb="FF000000"/>
      <name val="Calibri"/>
      <family val="2"/>
    </font>
    <font>
      <b/>
      <sz val="9"/>
      <color theme="1"/>
      <name val="Quattrocento Sans"/>
    </font>
    <font>
      <b/>
      <sz val="9"/>
      <color rgb="FFFF3300"/>
      <name val="Quattrocento Sans"/>
    </font>
    <font>
      <b/>
      <sz val="9"/>
      <color rgb="FF3F3F3F"/>
      <name val="Quattrocento Sans"/>
    </font>
    <font>
      <sz val="8"/>
      <color theme="1"/>
      <name val="Quattrocento Sans"/>
    </font>
    <font>
      <b/>
      <sz val="9"/>
      <color rgb="FFFFC000"/>
      <name val="Quattrocento Sans"/>
    </font>
    <font>
      <b/>
      <sz val="11"/>
      <color rgb="FF00B050"/>
      <name val="Quattrocento Sans"/>
    </font>
    <font>
      <b/>
      <sz val="9"/>
      <color rgb="FF7030A0"/>
      <name val="Quattrocento Sans"/>
    </font>
    <font>
      <b/>
      <sz val="11"/>
      <color rgb="FF7030A0"/>
      <name val="Quattrocento Sans"/>
    </font>
    <font>
      <b/>
      <sz val="9"/>
      <color rgb="FFFFFFFF"/>
      <name val="Quattrocento Sans"/>
    </font>
    <font>
      <b/>
      <sz val="8"/>
      <color theme="1"/>
      <name val="Quattrocento Sans"/>
    </font>
    <font>
      <b/>
      <sz val="8"/>
      <color rgb="FFFF0000"/>
      <name val="Quattrocento Sans"/>
    </font>
    <font>
      <sz val="8"/>
      <color rgb="FF2F5496"/>
      <name val="Quattrocento Sans"/>
    </font>
    <font>
      <b/>
      <sz val="7"/>
      <color rgb="FFFF0000"/>
      <name val="Quattrocento Sans"/>
    </font>
    <font>
      <b/>
      <sz val="12"/>
      <color theme="0"/>
      <name val="Calibri"/>
      <family val="2"/>
    </font>
    <font>
      <sz val="11"/>
      <color rgb="FF000000"/>
      <name val="Calibri"/>
      <family val="2"/>
    </font>
    <font>
      <sz val="8"/>
      <color theme="0"/>
      <name val="Quattrocento Sans"/>
    </font>
    <font>
      <sz val="12"/>
      <color theme="0"/>
      <name val="Calibri"/>
      <family val="2"/>
    </font>
    <font>
      <b/>
      <sz val="10"/>
      <color rgb="FF00B050"/>
      <name val="Quattrocento Sans"/>
    </font>
    <font>
      <b/>
      <sz val="10"/>
      <color rgb="FF00B0F0"/>
      <name val="Quattrocento Sans"/>
    </font>
    <font>
      <b/>
      <sz val="10"/>
      <color theme="7"/>
      <name val="Quattrocento Sans"/>
    </font>
    <font>
      <b/>
      <sz val="10"/>
      <color rgb="FFC00000"/>
      <name val="Quattrocento Sans"/>
    </font>
    <font>
      <b/>
      <sz val="10"/>
      <color rgb="FF7030A0"/>
      <name val="Quattrocento Sans"/>
    </font>
    <font>
      <b/>
      <sz val="10"/>
      <color rgb="FF13C5FD"/>
      <name val="Quattrocento Sans"/>
    </font>
    <font>
      <b/>
      <sz val="10"/>
      <color rgb="FFFF0066"/>
      <name val="Quattrocento Sans"/>
    </font>
    <font>
      <sz val="12"/>
      <color rgb="FF000000"/>
      <name val="Calibri"/>
      <family val="2"/>
    </font>
    <font>
      <b/>
      <sz val="16"/>
      <color rgb="FFFFFFFF"/>
      <name val="Calibri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00B050"/>
      <name val="Arial"/>
      <family val="2"/>
    </font>
    <font>
      <sz val="11"/>
      <color rgb="FFFFC000"/>
      <name val="Arial"/>
      <family val="2"/>
    </font>
    <font>
      <u/>
      <sz val="11"/>
      <color rgb="FFC00000"/>
      <name val="Arial"/>
      <family val="2"/>
    </font>
    <font>
      <sz val="11"/>
      <color rgb="FF7030A0"/>
      <name val="Arial"/>
      <family val="2"/>
    </font>
    <font>
      <u/>
      <sz val="11"/>
      <color theme="1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1F1F1F"/>
      <name val="&quot;Google Sans&quot;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5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2F5496"/>
      <name val="Segoe UI"/>
      <family val="2"/>
    </font>
    <font>
      <b/>
      <u/>
      <sz val="10"/>
      <color rgb="FF2F5496"/>
      <name val="Segoe UI"/>
      <family val="2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rgb="FFC55A11"/>
        <bgColor rgb="FFC55A11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E9EEF6"/>
        <bgColor rgb="FFE9EEF6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medium">
        <color rgb="FFA5A5A5"/>
      </left>
      <right style="thin">
        <color rgb="FFBFBFBF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A5A5A5"/>
      </left>
      <right style="thin">
        <color rgb="FFA5A5A5"/>
      </right>
      <top/>
      <bottom style="thin">
        <color rgb="FFA5A5A5"/>
      </bottom>
      <diagonal/>
    </border>
    <border>
      <left style="medium">
        <color rgb="FFA5A5A5"/>
      </left>
      <right style="thin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/>
      <bottom style="thin">
        <color rgb="FFA5A5A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9" fillId="0" borderId="0" applyNumberFormat="0" applyFill="0" applyBorder="0" applyAlignment="0" applyProtection="0"/>
  </cellStyleXfs>
  <cellXfs count="244">
    <xf numFmtId="0" fontId="0" fillId="0" borderId="0" xfId="0"/>
    <xf numFmtId="0" fontId="9" fillId="0" borderId="0" xfId="0" applyFont="1"/>
    <xf numFmtId="0" fontId="11" fillId="0" borderId="0" xfId="0" applyFont="1"/>
    <xf numFmtId="0" fontId="18" fillId="0" borderId="29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4" fontId="23" fillId="0" borderId="29" xfId="0" applyNumberFormat="1" applyFont="1" applyBorder="1" applyAlignment="1">
      <alignment horizontal="center" vertical="center"/>
    </xf>
    <xf numFmtId="0" fontId="22" fillId="11" borderId="29" xfId="0" applyFont="1" applyFill="1" applyBorder="1" applyAlignment="1">
      <alignment horizontal="center" vertical="center" wrapText="1"/>
    </xf>
    <xf numFmtId="14" fontId="23" fillId="0" borderId="3" xfId="0" applyNumberFormat="1" applyFont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165" fontId="9" fillId="0" borderId="33" xfId="0" applyNumberFormat="1" applyFont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wrapText="1"/>
    </xf>
    <xf numFmtId="0" fontId="4" fillId="3" borderId="29" xfId="0" applyFont="1" applyFill="1" applyBorder="1" applyAlignment="1">
      <alignment vertical="center" wrapText="1"/>
    </xf>
    <xf numFmtId="0" fontId="22" fillId="0" borderId="30" xfId="0" applyFont="1" applyBorder="1" applyAlignment="1">
      <alignment vertical="center" textRotation="255" wrapText="1"/>
    </xf>
    <xf numFmtId="0" fontId="25" fillId="0" borderId="35" xfId="0" applyFont="1" applyBorder="1" applyAlignment="1">
      <alignment vertical="center" textRotation="90" wrapText="1"/>
    </xf>
    <xf numFmtId="166" fontId="9" fillId="0" borderId="33" xfId="0" applyNumberFormat="1" applyFont="1" applyBorder="1" applyAlignment="1">
      <alignment horizontal="center" vertical="center" wrapText="1"/>
    </xf>
    <xf numFmtId="0" fontId="16" fillId="0" borderId="36" xfId="0" applyFont="1" applyBorder="1" applyAlignment="1">
      <alignment vertical="center" wrapText="1"/>
    </xf>
    <xf numFmtId="0" fontId="16" fillId="0" borderId="37" xfId="0" applyFont="1" applyBorder="1" applyAlignment="1">
      <alignment vertical="center" wrapText="1"/>
    </xf>
    <xf numFmtId="0" fontId="16" fillId="0" borderId="38" xfId="0" applyFont="1" applyBorder="1" applyAlignment="1">
      <alignment vertical="center" wrapText="1"/>
    </xf>
    <xf numFmtId="0" fontId="22" fillId="12" borderId="39" xfId="0" applyFont="1" applyFill="1" applyBorder="1" applyAlignment="1">
      <alignment horizontal="center" vertical="center"/>
    </xf>
    <xf numFmtId="0" fontId="22" fillId="12" borderId="40" xfId="0" applyFont="1" applyFill="1" applyBorder="1" applyAlignment="1">
      <alignment horizontal="center" vertical="center"/>
    </xf>
    <xf numFmtId="0" fontId="26" fillId="0" borderId="0" xfId="0" applyFont="1"/>
    <xf numFmtId="0" fontId="27" fillId="2" borderId="29" xfId="0" applyFont="1" applyFill="1" applyBorder="1" applyAlignment="1">
      <alignment horizontal="center" vertical="center"/>
    </xf>
    <xf numFmtId="0" fontId="27" fillId="0" borderId="41" xfId="0" applyFont="1" applyBorder="1" applyAlignment="1">
      <alignment horizontal="center"/>
    </xf>
    <xf numFmtId="0" fontId="27" fillId="0" borderId="41" xfId="0" applyFont="1" applyBorder="1" applyAlignment="1">
      <alignment horizontal="right"/>
    </xf>
    <xf numFmtId="0" fontId="27" fillId="0" borderId="29" xfId="0" applyFont="1" applyBorder="1"/>
    <xf numFmtId="0" fontId="27" fillId="0" borderId="5" xfId="0" applyFont="1" applyBorder="1"/>
    <xf numFmtId="0" fontId="27" fillId="0" borderId="5" xfId="0" applyFont="1" applyBorder="1" applyAlignment="1">
      <alignment horizontal="center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9" fontId="9" fillId="0" borderId="45" xfId="0" applyNumberFormat="1" applyFont="1" applyBorder="1" applyAlignment="1">
      <alignment horizontal="center" vertical="center" wrapText="1"/>
    </xf>
    <xf numFmtId="0" fontId="16" fillId="0" borderId="42" xfId="0" applyFont="1" applyBorder="1" applyAlignment="1">
      <alignment vertical="center" wrapText="1"/>
    </xf>
    <xf numFmtId="0" fontId="28" fillId="0" borderId="46" xfId="0" applyFont="1" applyBorder="1" applyAlignment="1">
      <alignment horizontal="center"/>
    </xf>
    <xf numFmtId="164" fontId="28" fillId="12" borderId="47" xfId="0" applyNumberFormat="1" applyFont="1" applyFill="1" applyBorder="1" applyAlignment="1">
      <alignment horizontal="center"/>
    </xf>
    <xf numFmtId="164" fontId="28" fillId="12" borderId="48" xfId="0" applyNumberFormat="1" applyFont="1" applyFill="1" applyBorder="1" applyAlignment="1">
      <alignment horizontal="center"/>
    </xf>
    <xf numFmtId="0" fontId="29" fillId="0" borderId="0" xfId="0" applyFont="1"/>
    <xf numFmtId="0" fontId="27" fillId="0" borderId="29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9" fontId="9" fillId="0" borderId="51" xfId="0" applyNumberFormat="1" applyFont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7" fillId="0" borderId="0" xfId="0" applyFont="1"/>
    <xf numFmtId="0" fontId="40" fillId="0" borderId="0" xfId="0" applyFont="1"/>
    <xf numFmtId="0" fontId="41" fillId="0" borderId="0" xfId="0" applyFont="1"/>
    <xf numFmtId="0" fontId="39" fillId="8" borderId="29" xfId="0" applyFont="1" applyFill="1" applyBorder="1"/>
    <xf numFmtId="0" fontId="42" fillId="0" borderId="29" xfId="0" applyFont="1" applyBorder="1" applyAlignment="1">
      <alignment horizontal="center" vertical="center"/>
    </xf>
    <xf numFmtId="14" fontId="43" fillId="0" borderId="29" xfId="0" applyNumberFormat="1" applyFont="1" applyBorder="1" applyAlignment="1">
      <alignment horizontal="center" vertical="center"/>
    </xf>
    <xf numFmtId="14" fontId="44" fillId="0" borderId="29" xfId="0" applyNumberFormat="1" applyFont="1" applyBorder="1" applyAlignment="1">
      <alignment horizontal="center" vertical="center"/>
    </xf>
    <xf numFmtId="0" fontId="39" fillId="8" borderId="29" xfId="0" applyFont="1" applyFill="1" applyBorder="1" applyAlignment="1">
      <alignment horizontal="left" vertical="center"/>
    </xf>
    <xf numFmtId="0" fontId="45" fillId="0" borderId="29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27" fillId="0" borderId="0" xfId="0" applyFont="1"/>
    <xf numFmtId="0" fontId="37" fillId="0" borderId="0" xfId="0" applyFont="1" applyAlignment="1">
      <alignment horizontal="center" vertical="center"/>
    </xf>
    <xf numFmtId="0" fontId="53" fillId="0" borderId="0" xfId="0" applyFont="1"/>
    <xf numFmtId="0" fontId="52" fillId="0" borderId="0" xfId="0" applyFont="1" applyAlignment="1">
      <alignment horizontal="center"/>
    </xf>
    <xf numFmtId="0" fontId="52" fillId="0" borderId="59" xfId="0" applyFont="1" applyBorder="1"/>
    <xf numFmtId="0" fontId="52" fillId="0" borderId="60" xfId="0" applyFont="1" applyBorder="1" applyAlignment="1">
      <alignment horizontal="center"/>
    </xf>
    <xf numFmtId="0" fontId="52" fillId="0" borderId="61" xfId="0" applyFont="1" applyBorder="1" applyAlignment="1">
      <alignment horizontal="center"/>
    </xf>
    <xf numFmtId="0" fontId="52" fillId="0" borderId="0" xfId="0" applyFont="1"/>
    <xf numFmtId="0" fontId="4" fillId="3" borderId="58" xfId="0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/>
    </xf>
    <xf numFmtId="0" fontId="9" fillId="2" borderId="56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/>
    </xf>
    <xf numFmtId="0" fontId="9" fillId="2" borderId="56" xfId="0" applyFont="1" applyFill="1" applyBorder="1"/>
    <xf numFmtId="14" fontId="9" fillId="2" borderId="56" xfId="0" applyNumberFormat="1" applyFont="1" applyFill="1" applyBorder="1"/>
    <xf numFmtId="0" fontId="27" fillId="0" borderId="68" xfId="0" applyFont="1" applyBorder="1" applyAlignment="1">
      <alignment horizontal="center" vertical="center"/>
    </xf>
    <xf numFmtId="0" fontId="46" fillId="0" borderId="68" xfId="0" applyFont="1" applyBorder="1" applyAlignment="1">
      <alignment vertical="center"/>
    </xf>
    <xf numFmtId="0" fontId="49" fillId="0" borderId="68" xfId="0" applyFont="1" applyBorder="1" applyAlignment="1">
      <alignment vertical="center"/>
    </xf>
    <xf numFmtId="0" fontId="50" fillId="0" borderId="68" xfId="0" applyFont="1" applyBorder="1" applyAlignment="1">
      <alignment vertical="center"/>
    </xf>
    <xf numFmtId="0" fontId="51" fillId="14" borderId="68" xfId="0" applyFont="1" applyFill="1" applyBorder="1" applyAlignment="1">
      <alignment horizontal="center" vertical="center"/>
    </xf>
    <xf numFmtId="0" fontId="37" fillId="0" borderId="68" xfId="0" applyFont="1" applyBorder="1" applyAlignment="1">
      <alignment horizontal="center" vertical="center"/>
    </xf>
    <xf numFmtId="0" fontId="37" fillId="0" borderId="68" xfId="0" applyFont="1" applyBorder="1"/>
    <xf numFmtId="0" fontId="27" fillId="0" borderId="70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68" xfId="0" applyFont="1" applyBorder="1" applyAlignment="1">
      <alignment horizontal="center"/>
    </xf>
    <xf numFmtId="0" fontId="9" fillId="0" borderId="71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73" xfId="0" applyFont="1" applyBorder="1" applyAlignment="1">
      <alignment horizontal="center" vertical="center" wrapText="1"/>
    </xf>
    <xf numFmtId="0" fontId="9" fillId="0" borderId="74" xfId="0" applyFont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9" fontId="9" fillId="0" borderId="79" xfId="0" applyNumberFormat="1" applyFont="1" applyBorder="1" applyAlignment="1">
      <alignment horizontal="center" vertical="center" wrapText="1"/>
    </xf>
    <xf numFmtId="0" fontId="60" fillId="0" borderId="68" xfId="0" applyFont="1" applyBorder="1" applyAlignment="1">
      <alignment vertical="center"/>
    </xf>
    <xf numFmtId="0" fontId="0" fillId="0" borderId="68" xfId="0" applyBorder="1"/>
    <xf numFmtId="0" fontId="0" fillId="0" borderId="68" xfId="0" applyBorder="1" applyAlignment="1">
      <alignment horizontal="right"/>
    </xf>
    <xf numFmtId="0" fontId="27" fillId="0" borderId="1" xfId="0" applyFont="1" applyBorder="1" applyAlignment="1">
      <alignment horizontal="center" vertical="center"/>
    </xf>
    <xf numFmtId="0" fontId="27" fillId="0" borderId="78" xfId="0" applyFont="1" applyBorder="1" applyAlignment="1">
      <alignment horizontal="center" vertical="center"/>
    </xf>
    <xf numFmtId="0" fontId="27" fillId="0" borderId="13" xfId="0" applyFont="1" applyBorder="1" applyAlignment="1">
      <alignment horizontal="right"/>
    </xf>
    <xf numFmtId="0" fontId="61" fillId="0" borderId="68" xfId="0" applyFont="1" applyBorder="1"/>
    <xf numFmtId="0" fontId="59" fillId="0" borderId="68" xfId="1" applyBorder="1"/>
    <xf numFmtId="0" fontId="2" fillId="0" borderId="56" xfId="0" applyFont="1" applyBorder="1" applyAlignment="1"/>
    <xf numFmtId="9" fontId="9" fillId="0" borderId="81" xfId="0" applyNumberFormat="1" applyFont="1" applyBorder="1" applyAlignment="1">
      <alignment horizontal="center" vertical="center" wrapText="1"/>
    </xf>
    <xf numFmtId="0" fontId="52" fillId="0" borderId="56" xfId="0" applyFont="1" applyBorder="1"/>
    <xf numFmtId="0" fontId="59" fillId="0" borderId="56" xfId="1" applyBorder="1"/>
    <xf numFmtId="0" fontId="52" fillId="16" borderId="29" xfId="0" applyFont="1" applyFill="1" applyBorder="1"/>
    <xf numFmtId="0" fontId="59" fillId="16" borderId="63" xfId="1" applyFill="1" applyBorder="1"/>
    <xf numFmtId="0" fontId="52" fillId="16" borderId="66" xfId="0" applyFont="1" applyFill="1" applyBorder="1"/>
    <xf numFmtId="0" fontId="59" fillId="16" borderId="67" xfId="1" applyFill="1" applyBorder="1"/>
    <xf numFmtId="0" fontId="59" fillId="16" borderId="86" xfId="1" applyFill="1" applyBorder="1"/>
    <xf numFmtId="0" fontId="52" fillId="16" borderId="89" xfId="0" applyFont="1" applyFill="1" applyBorder="1"/>
    <xf numFmtId="0" fontId="59" fillId="16" borderId="90" xfId="1" applyFill="1" applyBorder="1"/>
    <xf numFmtId="0" fontId="52" fillId="16" borderId="82" xfId="0" applyFont="1" applyFill="1" applyBorder="1"/>
    <xf numFmtId="0" fontId="52" fillId="16" borderId="83" xfId="0" applyFont="1" applyFill="1" applyBorder="1" applyAlignment="1">
      <alignment horizontal="center"/>
    </xf>
    <xf numFmtId="0" fontId="52" fillId="16" borderId="84" xfId="0" applyFont="1" applyFill="1" applyBorder="1" applyAlignment="1">
      <alignment horizontal="center"/>
    </xf>
    <xf numFmtId="0" fontId="52" fillId="16" borderId="59" xfId="0" applyFont="1" applyFill="1" applyBorder="1"/>
    <xf numFmtId="0" fontId="52" fillId="16" borderId="60" xfId="0" applyFont="1" applyFill="1" applyBorder="1" applyAlignment="1">
      <alignment horizontal="center"/>
    </xf>
    <xf numFmtId="0" fontId="52" fillId="16" borderId="61" xfId="0" applyFont="1" applyFill="1" applyBorder="1" applyAlignment="1">
      <alignment horizontal="center"/>
    </xf>
    <xf numFmtId="0" fontId="52" fillId="16" borderId="58" xfId="0" applyFont="1" applyFill="1" applyBorder="1"/>
    <xf numFmtId="0" fontId="59" fillId="16" borderId="80" xfId="1" applyFill="1" applyBorder="1"/>
    <xf numFmtId="0" fontId="52" fillId="16" borderId="67" xfId="0" applyFont="1" applyFill="1" applyBorder="1"/>
    <xf numFmtId="0" fontId="52" fillId="17" borderId="59" xfId="0" applyFont="1" applyFill="1" applyBorder="1"/>
    <xf numFmtId="0" fontId="52" fillId="17" borderId="60" xfId="0" applyFont="1" applyFill="1" applyBorder="1" applyAlignment="1">
      <alignment horizontal="center"/>
    </xf>
    <xf numFmtId="0" fontId="52" fillId="17" borderId="61" xfId="0" applyFont="1" applyFill="1" applyBorder="1" applyAlignment="1">
      <alignment horizontal="center"/>
    </xf>
    <xf numFmtId="0" fontId="52" fillId="17" borderId="29" xfId="0" applyFont="1" applyFill="1" applyBorder="1"/>
    <xf numFmtId="0" fontId="59" fillId="17" borderId="63" xfId="1" applyFill="1" applyBorder="1"/>
    <xf numFmtId="0" fontId="52" fillId="17" borderId="63" xfId="0" applyFont="1" applyFill="1" applyBorder="1"/>
    <xf numFmtId="0" fontId="52" fillId="17" borderId="66" xfId="0" applyFont="1" applyFill="1" applyBorder="1"/>
    <xf numFmtId="0" fontId="52" fillId="17" borderId="67" xfId="0" applyFont="1" applyFill="1" applyBorder="1"/>
    <xf numFmtId="0" fontId="59" fillId="16" borderId="91" xfId="1" applyFill="1" applyBorder="1"/>
    <xf numFmtId="0" fontId="52" fillId="16" borderId="68" xfId="0" applyFont="1" applyFill="1" applyBorder="1"/>
    <xf numFmtId="0" fontId="52" fillId="16" borderId="92" xfId="0" applyFont="1" applyFill="1" applyBorder="1"/>
    <xf numFmtId="0" fontId="52" fillId="16" borderId="93" xfId="0" applyFont="1" applyFill="1" applyBorder="1"/>
    <xf numFmtId="0" fontId="52" fillId="16" borderId="94" xfId="0" applyFont="1" applyFill="1" applyBorder="1"/>
    <xf numFmtId="0" fontId="52" fillId="0" borderId="95" xfId="0" applyFont="1" applyBorder="1"/>
    <xf numFmtId="0" fontId="52" fillId="0" borderId="96" xfId="0" applyFont="1" applyBorder="1" applyAlignment="1">
      <alignment horizontal="center"/>
    </xf>
    <xf numFmtId="0" fontId="52" fillId="0" borderId="97" xfId="0" applyFont="1" applyBorder="1" applyAlignment="1">
      <alignment horizontal="center"/>
    </xf>
    <xf numFmtId="0" fontId="59" fillId="16" borderId="99" xfId="1" applyFill="1" applyBorder="1"/>
    <xf numFmtId="0" fontId="59" fillId="16" borderId="100" xfId="1" applyFill="1" applyBorder="1"/>
    <xf numFmtId="0" fontId="52" fillId="16" borderId="102" xfId="0" applyFont="1" applyFill="1" applyBorder="1"/>
    <xf numFmtId="0" fontId="52" fillId="16" borderId="103" xfId="0" applyFont="1" applyFill="1" applyBorder="1"/>
    <xf numFmtId="0" fontId="59" fillId="16" borderId="104" xfId="1" applyFill="1" applyBorder="1"/>
    <xf numFmtId="0" fontId="13" fillId="8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/>
    <xf numFmtId="0" fontId="2" fillId="0" borderId="5" xfId="0" applyFont="1" applyBorder="1" applyAlignment="1"/>
    <xf numFmtId="0" fontId="3" fillId="9" borderId="1" xfId="0" applyFont="1" applyFill="1" applyBorder="1" applyAlignment="1">
      <alignment horizontal="center" vertical="center" wrapText="1"/>
    </xf>
    <xf numFmtId="0" fontId="2" fillId="0" borderId="19" xfId="0" applyFont="1" applyBorder="1" applyAlignment="1"/>
    <xf numFmtId="0" fontId="2" fillId="0" borderId="2" xfId="0" applyFont="1" applyBorder="1" applyAlignment="1"/>
    <xf numFmtId="0" fontId="2" fillId="0" borderId="12" xfId="0" applyFont="1" applyBorder="1" applyAlignment="1"/>
    <xf numFmtId="0" fontId="2" fillId="0" borderId="15" xfId="0" applyFont="1" applyBorder="1" applyAlignment="1"/>
    <xf numFmtId="0" fontId="2" fillId="0" borderId="13" xfId="0" applyFont="1" applyBorder="1" applyAlignment="1"/>
    <xf numFmtId="0" fontId="22" fillId="11" borderId="3" xfId="0" applyFont="1" applyFill="1" applyBorder="1" applyAlignment="1">
      <alignment horizontal="center" vertical="center" wrapText="1"/>
    </xf>
    <xf numFmtId="0" fontId="30" fillId="3" borderId="75" xfId="0" applyFont="1" applyFill="1" applyBorder="1" applyAlignment="1">
      <alignment horizontal="center" vertical="center"/>
    </xf>
    <xf numFmtId="0" fontId="2" fillId="0" borderId="76" xfId="0" applyFont="1" applyBorder="1" applyAlignment="1"/>
    <xf numFmtId="0" fontId="2" fillId="0" borderId="77" xfId="0" applyFont="1" applyBorder="1" applyAlignment="1"/>
    <xf numFmtId="0" fontId="22" fillId="0" borderId="69" xfId="0" applyFont="1" applyBorder="1" applyAlignment="1">
      <alignment horizontal="center" vertical="center" wrapText="1"/>
    </xf>
    <xf numFmtId="0" fontId="2" fillId="0" borderId="42" xfId="0" applyFont="1" applyBorder="1" applyAlignment="1"/>
    <xf numFmtId="0" fontId="6" fillId="4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/>
    <xf numFmtId="0" fontId="6" fillId="5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/>
    <xf numFmtId="0" fontId="7" fillId="5" borderId="16" xfId="0" applyFont="1" applyFill="1" applyBorder="1" applyAlignment="1">
      <alignment horizontal="center" vertical="center"/>
    </xf>
    <xf numFmtId="0" fontId="2" fillId="0" borderId="17" xfId="0" applyFont="1" applyBorder="1" applyAlignment="1"/>
    <xf numFmtId="0" fontId="15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2" fillId="0" borderId="56" xfId="0" applyFont="1" applyBorder="1" applyAlignment="1"/>
    <xf numFmtId="0" fontId="5" fillId="4" borderId="20" xfId="0" applyFont="1" applyFill="1" applyBorder="1" applyAlignment="1">
      <alignment horizontal="center" vertical="center" wrapText="1"/>
    </xf>
    <xf numFmtId="0" fontId="2" fillId="0" borderId="26" xfId="0" applyFont="1" applyBorder="1" applyAlignment="1"/>
    <xf numFmtId="0" fontId="2" fillId="0" borderId="27" xfId="0" applyFont="1" applyBorder="1" applyAlignment="1"/>
    <xf numFmtId="0" fontId="6" fillId="5" borderId="20" xfId="0" applyFont="1" applyFill="1" applyBorder="1" applyAlignment="1">
      <alignment horizontal="center" wrapText="1"/>
    </xf>
    <xf numFmtId="0" fontId="2" fillId="0" borderId="21" xfId="0" applyFont="1" applyBorder="1" applyAlignment="1"/>
    <xf numFmtId="0" fontId="2" fillId="0" borderId="28" xfId="0" applyFont="1" applyBorder="1" applyAlignment="1"/>
    <xf numFmtId="0" fontId="6" fillId="4" borderId="20" xfId="0" applyFont="1" applyFill="1" applyBorder="1" applyAlignment="1">
      <alignment horizontal="center" wrapText="1"/>
    </xf>
    <xf numFmtId="0" fontId="6" fillId="5" borderId="20" xfId="0" applyFont="1" applyFill="1" applyBorder="1" applyAlignment="1">
      <alignment horizontal="left" wrapText="1"/>
    </xf>
    <xf numFmtId="0" fontId="17" fillId="0" borderId="3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4" fillId="3" borderId="52" xfId="0" applyFont="1" applyFill="1" applyBorder="1" applyAlignment="1">
      <alignment horizontal="center" vertical="center"/>
    </xf>
    <xf numFmtId="0" fontId="2" fillId="0" borderId="53" xfId="0" applyFont="1" applyBorder="1" applyAlignment="1"/>
    <xf numFmtId="0" fontId="2" fillId="0" borderId="54" xfId="0" applyFont="1" applyBorder="1" applyAlignment="1"/>
    <xf numFmtId="0" fontId="22" fillId="0" borderId="55" xfId="0" applyFont="1" applyBorder="1" applyAlignment="1">
      <alignment horizontal="center" vertical="center" wrapText="1"/>
    </xf>
    <xf numFmtId="0" fontId="2" fillId="0" borderId="49" xfId="0" applyFont="1" applyBorder="1" applyAlignment="1"/>
    <xf numFmtId="0" fontId="12" fillId="5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wrapText="1"/>
    </xf>
    <xf numFmtId="0" fontId="31" fillId="3" borderId="52" xfId="0" applyFont="1" applyFill="1" applyBorder="1" applyAlignment="1">
      <alignment horizontal="center" vertical="center"/>
    </xf>
    <xf numFmtId="0" fontId="32" fillId="3" borderId="52" xfId="0" applyFont="1" applyFill="1" applyBorder="1" applyAlignment="1">
      <alignment horizontal="center" vertical="center"/>
    </xf>
    <xf numFmtId="0" fontId="33" fillId="3" borderId="52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5" fillId="3" borderId="52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/>
    <xf numFmtId="0" fontId="8" fillId="2" borderId="22" xfId="0" applyFont="1" applyFill="1" applyBorder="1" applyAlignment="1">
      <alignment horizontal="center" vertical="center"/>
    </xf>
    <xf numFmtId="0" fontId="2" fillId="0" borderId="24" xfId="0" applyFont="1" applyBorder="1" applyAlignment="1"/>
    <xf numFmtId="0" fontId="21" fillId="10" borderId="40" xfId="0" applyFont="1" applyFill="1" applyBorder="1" applyAlignment="1">
      <alignment horizontal="center" vertical="center"/>
    </xf>
    <xf numFmtId="0" fontId="2" fillId="0" borderId="34" xfId="0" applyFont="1" applyBorder="1" applyAlignment="1"/>
    <xf numFmtId="0" fontId="9" fillId="0" borderId="40" xfId="0" applyFont="1" applyBorder="1" applyAlignment="1">
      <alignment horizontal="center" vertical="center"/>
    </xf>
    <xf numFmtId="0" fontId="2" fillId="0" borderId="39" xfId="0" applyFont="1" applyBorder="1" applyAlignment="1"/>
    <xf numFmtId="0" fontId="22" fillId="10" borderId="34" xfId="0" applyFont="1" applyFill="1" applyBorder="1" applyAlignment="1">
      <alignment horizontal="center" vertical="center"/>
    </xf>
    <xf numFmtId="0" fontId="10" fillId="0" borderId="0" xfId="0" applyFont="1" applyAlignment="1"/>
    <xf numFmtId="0" fontId="0" fillId="0" borderId="0" xfId="0" applyAlignment="1"/>
    <xf numFmtId="0" fontId="0" fillId="7" borderId="56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8" xfId="0" applyFont="1" applyBorder="1" applyAlignment="1"/>
    <xf numFmtId="0" fontId="2" fillId="0" borderId="57" xfId="0" applyFont="1" applyBorder="1" applyAlignment="1"/>
    <xf numFmtId="0" fontId="7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left" vertical="center" wrapText="1"/>
    </xf>
    <xf numFmtId="0" fontId="39" fillId="8" borderId="3" xfId="0" applyFont="1" applyFill="1" applyBorder="1" applyAlignment="1">
      <alignment horizontal="left" vertical="center"/>
    </xf>
    <xf numFmtId="0" fontId="41" fillId="0" borderId="3" xfId="0" applyFont="1" applyBorder="1" applyAlignment="1">
      <alignment horizontal="center" vertical="center"/>
    </xf>
    <xf numFmtId="0" fontId="38" fillId="13" borderId="56" xfId="0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59" fillId="0" borderId="3" xfId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39" fillId="8" borderId="3" xfId="0" applyFont="1" applyFill="1" applyBorder="1" applyAlignment="1">
      <alignment vertical="center"/>
    </xf>
    <xf numFmtId="0" fontId="46" fillId="0" borderId="3" xfId="0" applyFont="1" applyBorder="1" applyAlignment="1">
      <alignment horizontal="left"/>
    </xf>
    <xf numFmtId="0" fontId="52" fillId="16" borderId="98" xfId="0" applyFont="1" applyFill="1" applyBorder="1" applyAlignment="1">
      <alignment horizontal="center" vertical="center" wrapText="1"/>
    </xf>
    <xf numFmtId="0" fontId="52" fillId="16" borderId="101" xfId="0" applyFont="1" applyFill="1" applyBorder="1" applyAlignment="1">
      <alignment horizontal="center" vertical="center" wrapText="1"/>
    </xf>
    <xf numFmtId="0" fontId="52" fillId="16" borderId="62" xfId="0" applyFont="1" applyFill="1" applyBorder="1" applyAlignment="1">
      <alignment horizontal="center" vertical="center" wrapText="1"/>
    </xf>
    <xf numFmtId="0" fontId="2" fillId="16" borderId="64" xfId="0" applyFont="1" applyFill="1" applyBorder="1" applyAlignment="1"/>
    <xf numFmtId="0" fontId="2" fillId="16" borderId="65" xfId="0" applyFont="1" applyFill="1" applyBorder="1" applyAlignment="1"/>
    <xf numFmtId="0" fontId="52" fillId="16" borderId="85" xfId="0" applyFont="1" applyFill="1" applyBorder="1" applyAlignment="1">
      <alignment horizontal="center" vertical="center" wrapText="1"/>
    </xf>
    <xf numFmtId="0" fontId="2" fillId="16" borderId="87" xfId="0" applyFont="1" applyFill="1" applyBorder="1" applyAlignment="1"/>
    <xf numFmtId="0" fontId="2" fillId="16" borderId="88" xfId="0" applyFont="1" applyFill="1" applyBorder="1" applyAlignment="1"/>
    <xf numFmtId="0" fontId="54" fillId="15" borderId="0" xfId="0" applyFont="1" applyFill="1" applyAlignment="1">
      <alignment horizontal="center"/>
    </xf>
    <xf numFmtId="0" fontId="52" fillId="17" borderId="62" xfId="0" applyFont="1" applyFill="1" applyBorder="1" applyAlignment="1">
      <alignment horizontal="center" vertical="center" wrapText="1"/>
    </xf>
    <xf numFmtId="0" fontId="2" fillId="17" borderId="64" xfId="0" applyFont="1" applyFill="1" applyBorder="1" applyAlignment="1"/>
    <xf numFmtId="0" fontId="2" fillId="17" borderId="65" xfId="0" applyFont="1" applyFill="1" applyBorder="1" applyAlignment="1"/>
  </cellXfs>
  <cellStyles count="2">
    <cellStyle name="Hipervínculo" xfId="1" builtinId="8"/>
    <cellStyle name="Normal" xfId="0" builtinId="0"/>
  </cellStyles>
  <dxfs count="10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.5"/>
        <color rgb="FF1F1F1F"/>
        <name val="Robo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2F2F2"/>
      </font>
      <fill>
        <patternFill patternType="none"/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E598"/>
          <bgColor rgb="FFFFE59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2F2F2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E598"/>
          <bgColor rgb="FFFFE598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B05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9CC2E5"/>
          <bgColor rgb="FF9CC2E5"/>
        </patternFill>
      </fill>
    </dxf>
    <dxf>
      <font>
        <color theme="0"/>
      </font>
      <fill>
        <patternFill patternType="solid">
          <fgColor rgb="FFFC8F68"/>
          <bgColor rgb="FFFC8F68"/>
        </patternFill>
      </fill>
    </dxf>
    <dxf>
      <font>
        <color rgb="FFFF0000"/>
      </font>
      <fill>
        <patternFill patternType="solid">
          <fgColor rgb="FFDAC1ED"/>
          <bgColor rgb="FFDAC1ED"/>
        </patternFill>
      </fill>
    </dxf>
    <dxf>
      <fill>
        <patternFill patternType="none"/>
      </fill>
    </dxf>
    <dxf>
      <font>
        <color rgb="FF0070C0"/>
      </font>
      <fill>
        <patternFill patternType="solid">
          <fgColor theme="0"/>
          <bgColor theme="0"/>
        </patternFill>
      </fill>
    </dxf>
    <dxf>
      <font>
        <color rgb="FFC00000"/>
      </font>
      <fill>
        <patternFill patternType="none"/>
      </fill>
    </dxf>
    <dxf>
      <font>
        <color rgb="FFFFFFFF"/>
      </font>
      <fill>
        <patternFill patternType="solid">
          <fgColor rgb="FF00B0F0"/>
          <bgColor rgb="FF00B0F0"/>
        </patternFill>
      </fill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color rgb="FFFFFFFF"/>
      </font>
      <fill>
        <patternFill patternType="solid">
          <fgColor rgb="FF99CC00"/>
          <bgColor rgb="FF99CC00"/>
        </patternFill>
      </fill>
      <border>
        <left style="thin">
          <color rgb="FFA8D08D"/>
        </left>
        <right style="thin">
          <color rgb="FFA8D08D"/>
        </right>
        <top style="thin">
          <color rgb="FFA8D08D"/>
        </top>
        <bottom style="thin">
          <color rgb="FFA8D08D"/>
        </bottom>
      </border>
    </dxf>
    <dxf>
      <font>
        <color rgb="FFFFFFFF"/>
      </font>
      <fill>
        <patternFill patternType="solid">
          <fgColor rgb="FFFF3300"/>
          <bgColor rgb="FFFF33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9CC2E5"/>
          <bgColor rgb="FF9CC2E5"/>
        </patternFill>
      </fill>
    </dxf>
    <dxf>
      <font>
        <color rgb="FFFF00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FC8F68"/>
          <bgColor rgb="FFFC8F68"/>
        </patternFill>
      </fill>
    </dxf>
    <dxf>
      <font>
        <color rgb="FFFF0066"/>
      </font>
      <fill>
        <patternFill patternType="solid">
          <fgColor rgb="FFDAC1ED"/>
          <bgColor rgb="FFDAC1ED"/>
        </patternFill>
      </fill>
    </dxf>
    <dxf>
      <fill>
        <patternFill patternType="none"/>
      </fill>
    </dxf>
    <dxf>
      <font>
        <color rgb="FF0070C0"/>
      </font>
      <fill>
        <patternFill patternType="solid">
          <fgColor theme="0"/>
          <bgColor theme="0"/>
        </patternFill>
      </fill>
    </dxf>
    <dxf>
      <font>
        <color rgb="FFC00000"/>
      </font>
      <fill>
        <patternFill patternType="none"/>
      </fill>
    </dxf>
    <dxf>
      <font>
        <color rgb="FFD8D8D8"/>
      </font>
      <fill>
        <patternFill patternType="solid">
          <fgColor rgb="FFFFFFFF"/>
          <bgColor rgb="FFFFFFFF"/>
        </patternFill>
      </fill>
    </dxf>
    <dxf>
      <font>
        <color rgb="FF00B05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9CC2E5"/>
          <bgColor rgb="FF9CC2E5"/>
        </patternFill>
      </fill>
    </dxf>
    <dxf>
      <font>
        <color rgb="FFFF00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FC8F68"/>
          <bgColor rgb="FFFC8F68"/>
        </patternFill>
      </fill>
    </dxf>
    <dxf>
      <font>
        <color rgb="FFFF0066"/>
      </font>
      <fill>
        <patternFill patternType="solid">
          <fgColor rgb="FFDAC1ED"/>
          <bgColor rgb="FFDAC1ED"/>
        </patternFill>
      </fill>
    </dxf>
    <dxf>
      <fill>
        <patternFill patternType="none"/>
      </fill>
    </dxf>
    <dxf>
      <font>
        <color rgb="FF0070C0"/>
      </font>
      <fill>
        <patternFill patternType="solid">
          <fgColor theme="0"/>
          <bgColor theme="0"/>
        </patternFill>
      </fill>
    </dxf>
    <dxf>
      <font>
        <color rgb="FFC0000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BASE DE DATOS-style" pivot="0" count="4" xr9:uid="{00000000-0011-0000-FFFF-FFFF00000000}">
      <tableStyleElement type="wholeTable" size="0" dxfId="103"/>
      <tableStyleElement type="headerRow" dxfId="102"/>
      <tableStyleElement type="firstRowStripe" dxfId="101"/>
      <tableStyleElement type="secondRowStripe" dxfId="10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28575</xdr:rowOff>
    </xdr:from>
    <xdr:ext cx="466725" cy="447675"/>
    <xdr:pic>
      <xdr:nvPicPr>
        <xdr:cNvPr id="2" name="image1.jpg" descr="logo_membre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28575"/>
          <a:ext cx="466725" cy="4476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9:K50">
  <tableColumns count="11">
    <tableColumn id="1" xr3:uid="{00000000-0010-0000-0000-000001000000}" name="No" dataDxfId="10"/>
    <tableColumn id="2" xr3:uid="{00000000-0010-0000-0000-000002000000}" name="Nombre" dataDxfId="9"/>
    <tableColumn id="3" xr3:uid="{00000000-0010-0000-0000-000003000000}" name="Tipo de documento" dataDxfId="8"/>
    <tableColumn id="4" xr3:uid="{00000000-0010-0000-0000-000004000000}" name="No de documento de identidad" dataDxfId="7"/>
    <tableColumn id="5" xr3:uid="{00000000-0010-0000-0000-000005000000}" name="Correo electrónico @soy.sena.edu.co" dataDxfId="6"/>
    <tableColumn id="6" xr3:uid="{00000000-0010-0000-0000-000006000000}" name="Correo  electrónico alterno" dataDxfId="5"/>
    <tableColumn id="7" xr3:uid="{00000000-0010-0000-0000-000007000000}" name="Teléfono de contacto" dataDxfId="4"/>
    <tableColumn id="8" xr3:uid="{00000000-0010-0000-0000-000008000000}" name="Nombres completos del acudiente" dataDxfId="3"/>
    <tableColumn id="9" xr3:uid="{00000000-0010-0000-0000-000009000000}" name="Correo_Acudiente" dataDxfId="2"/>
    <tableColumn id="10" xr3:uid="{00000000-0010-0000-0000-00000A000000}" name="Teléfono de Acudiente" dataDxfId="1"/>
    <tableColumn id="11" xr3:uid="{00000000-0010-0000-0000-00000B000000}" name="ID_Drive" dataDxfId="0"/>
  </tableColumns>
  <tableStyleInfo name="BASE DE 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antiago0212casti@gmail.com" TargetMode="External"/><Relationship Id="rId18" Type="http://schemas.openxmlformats.org/officeDocument/2006/relationships/hyperlink" Target="mailto:solecitocalderon2708@gmail.com" TargetMode="External"/><Relationship Id="rId26" Type="http://schemas.openxmlformats.org/officeDocument/2006/relationships/hyperlink" Target="mailto:valcespedes08@gmail.com" TargetMode="External"/><Relationship Id="rId39" Type="http://schemas.openxmlformats.org/officeDocument/2006/relationships/hyperlink" Target="mailto:sararomerot07@gmail.com" TargetMode="External"/><Relationship Id="rId21" Type="http://schemas.openxmlformats.org/officeDocument/2006/relationships/hyperlink" Target="mailto:jennieisjenniein@gmail.com" TargetMode="External"/><Relationship Id="rId34" Type="http://schemas.openxmlformats.org/officeDocument/2006/relationships/hyperlink" Target="mailto:sam.alejo.602@gmail.com" TargetMode="External"/><Relationship Id="rId42" Type="http://schemas.openxmlformats.org/officeDocument/2006/relationships/hyperlink" Target="https://drive.google.com/drive/folders/1e5MnNm38wj8rlME9h65wZQxm8wT1fW3i" TargetMode="External"/><Relationship Id="rId47" Type="http://schemas.openxmlformats.org/officeDocument/2006/relationships/hyperlink" Target="https://drive.google.com/drive/folders/1k7CkCQY_SSvrR06nZqJn2xiTkeFA6Hzy?usp=sharing" TargetMode="External"/><Relationship Id="rId50" Type="http://schemas.openxmlformats.org/officeDocument/2006/relationships/table" Target="../tables/table1.xml"/><Relationship Id="rId7" Type="http://schemas.openxmlformats.org/officeDocument/2006/relationships/hyperlink" Target="mailto:silvanamontien@gmail.com" TargetMode="External"/><Relationship Id="rId2" Type="http://schemas.openxmlformats.org/officeDocument/2006/relationships/hyperlink" Target="mailto:csalcedo@sena.edu.co" TargetMode="External"/><Relationship Id="rId16" Type="http://schemas.openxmlformats.org/officeDocument/2006/relationships/hyperlink" Target="mailto:esquibelbrayanextiven@gmail.com" TargetMode="External"/><Relationship Id="rId29" Type="http://schemas.openxmlformats.org/officeDocument/2006/relationships/hyperlink" Target="mailto:salazarorjuelaericksantiago@gmail.com" TargetMode="External"/><Relationship Id="rId11" Type="http://schemas.openxmlformats.org/officeDocument/2006/relationships/hyperlink" Target="mailto:rodriguezsalinasandres10@gmail.com" TargetMode="External"/><Relationship Id="rId24" Type="http://schemas.openxmlformats.org/officeDocument/2006/relationships/hyperlink" Target="mailto:mari.ggutierrez41@gmail.com" TargetMode="External"/><Relationship Id="rId32" Type="http://schemas.openxmlformats.org/officeDocument/2006/relationships/hyperlink" Target="mailto:julianrmcxd@gmail.com" TargetMode="External"/><Relationship Id="rId37" Type="http://schemas.openxmlformats.org/officeDocument/2006/relationships/hyperlink" Target="mailto:nicolascm1028@gmail.com" TargetMode="External"/><Relationship Id="rId40" Type="http://schemas.openxmlformats.org/officeDocument/2006/relationships/hyperlink" Target="mailto:valentinavillada815@gmail.com" TargetMode="External"/><Relationship Id="rId45" Type="http://schemas.openxmlformats.org/officeDocument/2006/relationships/hyperlink" Target="https://drive.google.com/drive/folders/1zBhVUGl0XMvFV86KTBazXok380bB50Po" TargetMode="External"/><Relationship Id="rId5" Type="http://schemas.openxmlformats.org/officeDocument/2006/relationships/hyperlink" Target="mailto:helennatalia145@gmail.com" TargetMode="External"/><Relationship Id="rId15" Type="http://schemas.openxmlformats.org/officeDocument/2006/relationships/hyperlink" Target="mailto:contreras.gutierrez7dilan@gmail.com" TargetMode="External"/><Relationship Id="rId23" Type="http://schemas.openxmlformats.org/officeDocument/2006/relationships/hyperlink" Target="mailto:alvarocuello575@gmail.com" TargetMode="External"/><Relationship Id="rId28" Type="http://schemas.openxmlformats.org/officeDocument/2006/relationships/hyperlink" Target="mailto:ramirezlizethtm23@gmail.com" TargetMode="External"/><Relationship Id="rId36" Type="http://schemas.openxmlformats.org/officeDocument/2006/relationships/hyperlink" Target="mailto:samuelsanabria458@gmail.com" TargetMode="External"/><Relationship Id="rId49" Type="http://schemas.openxmlformats.org/officeDocument/2006/relationships/hyperlink" Target="https://drive.google.com/drive/folders/1tJglmPWO29jTIa-ace4BC-1VLxRO5cMn?usp=sharing" TargetMode="External"/><Relationship Id="rId10" Type="http://schemas.openxmlformats.org/officeDocument/2006/relationships/hyperlink" Target="mailto:carocastillosaranykol@gmail.com" TargetMode="External"/><Relationship Id="rId19" Type="http://schemas.openxmlformats.org/officeDocument/2006/relationships/hyperlink" Target="mailto:nmgarcia152009@gmail.com" TargetMode="External"/><Relationship Id="rId31" Type="http://schemas.openxmlformats.org/officeDocument/2006/relationships/hyperlink" Target="mailto:yurannygarciar@gmail.com" TargetMode="External"/><Relationship Id="rId44" Type="http://schemas.openxmlformats.org/officeDocument/2006/relationships/hyperlink" Target="https://drive.google.com/drive/folders/10W3JOZYnBLERw1Ku3FBXQH17OOqAx6R5" TargetMode="External"/><Relationship Id="rId4" Type="http://schemas.openxmlformats.org/officeDocument/2006/relationships/hyperlink" Target="mailto:jaramilloasly4@gmail.com" TargetMode="External"/><Relationship Id="rId9" Type="http://schemas.openxmlformats.org/officeDocument/2006/relationships/hyperlink" Target="mailto:jannyariza343@gmail.com" TargetMode="External"/><Relationship Id="rId14" Type="http://schemas.openxmlformats.org/officeDocument/2006/relationships/hyperlink" Target="mailto:hernandezgomezisabella8@gmail.com" TargetMode="External"/><Relationship Id="rId22" Type="http://schemas.openxmlformats.org/officeDocument/2006/relationships/hyperlink" Target="mailto:andresfeliperomerorojas067@gmail.com" TargetMode="External"/><Relationship Id="rId27" Type="http://schemas.openxmlformats.org/officeDocument/2006/relationships/hyperlink" Target="mailto:merietmaryan0515@gmail.com" TargetMode="External"/><Relationship Id="rId30" Type="http://schemas.openxmlformats.org/officeDocument/2006/relationships/hyperlink" Target="mailto:duver0224@gmail.com" TargetMode="External"/><Relationship Id="rId35" Type="http://schemas.openxmlformats.org/officeDocument/2006/relationships/hyperlink" Target="mailto:angiegaitan591@gmail.com" TargetMode="External"/><Relationship Id="rId43" Type="http://schemas.openxmlformats.org/officeDocument/2006/relationships/hyperlink" Target="mailto:santiagolizcanopulido14@gmail.com" TargetMode="External"/><Relationship Id="rId48" Type="http://schemas.openxmlformats.org/officeDocument/2006/relationships/hyperlink" Target="https://drive.google.com/drive/folders/1i9YWtVix9QDwGuBejYti0hXQW2RBW4bR" TargetMode="External"/><Relationship Id="rId8" Type="http://schemas.openxmlformats.org/officeDocument/2006/relationships/hyperlink" Target="mailto:ardillapaula92@gmail.com" TargetMode="External"/><Relationship Id="rId3" Type="http://schemas.openxmlformats.org/officeDocument/2006/relationships/hyperlink" Target="mailto:carenacevedo2011@gmail.com" TargetMode="External"/><Relationship Id="rId12" Type="http://schemas.openxmlformats.org/officeDocument/2006/relationships/hyperlink" Target="mailto:damianbenavides684@gmail.com" TargetMode="External"/><Relationship Id="rId17" Type="http://schemas.openxmlformats.org/officeDocument/2006/relationships/hyperlink" Target="mailto:dbetancur779@gmail.com" TargetMode="External"/><Relationship Id="rId25" Type="http://schemas.openxmlformats.org/officeDocument/2006/relationships/hyperlink" Target="mailto:mariacamilabuitragorengifo15@gmail.com" TargetMode="External"/><Relationship Id="rId33" Type="http://schemas.openxmlformats.org/officeDocument/2006/relationships/hyperlink" Target="mailto:mv8218407@gmail.com" TargetMode="External"/><Relationship Id="rId38" Type="http://schemas.openxmlformats.org/officeDocument/2006/relationships/hyperlink" Target="mailto:valeriaherreragarcia51@gmail.com" TargetMode="External"/><Relationship Id="rId46" Type="http://schemas.openxmlformats.org/officeDocument/2006/relationships/hyperlink" Target="https://drive.google.com/drive/folders/1-_1VRhJ26eR2q2Lo3868pA2FFQHyjP-T?usp=drive_link" TargetMode="External"/><Relationship Id="rId20" Type="http://schemas.openxmlformats.org/officeDocument/2006/relationships/hyperlink" Target="mailto:angiebejarano0910@gmail.com" TargetMode="External"/><Relationship Id="rId41" Type="http://schemas.openxmlformats.org/officeDocument/2006/relationships/hyperlink" Target="mailto:gomezbeltranlauracamila@gmail.com" TargetMode="External"/><Relationship Id="rId1" Type="http://schemas.openxmlformats.org/officeDocument/2006/relationships/hyperlink" Target="https://drive.google.com/drive/folders/1kSqA9LYbH9MFZSxu9MClQCYcE5z9A6Cy?usp=sharing" TargetMode="External"/><Relationship Id="rId6" Type="http://schemas.openxmlformats.org/officeDocument/2006/relationships/hyperlink" Target="mailto:estefaniamartinezromero22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hernandezgomezisabella8@gmail.com" TargetMode="External"/><Relationship Id="rId18" Type="http://schemas.openxmlformats.org/officeDocument/2006/relationships/hyperlink" Target="mailto:angiebejarano0910@gmail.com" TargetMode="External"/><Relationship Id="rId26" Type="http://schemas.openxmlformats.org/officeDocument/2006/relationships/hyperlink" Target="mailto:merietmaryan0515@gmail.com" TargetMode="External"/><Relationship Id="rId39" Type="http://schemas.openxmlformats.org/officeDocument/2006/relationships/hyperlink" Target="mailto:dbetancur779@gmail.com" TargetMode="External"/><Relationship Id="rId21" Type="http://schemas.openxmlformats.org/officeDocument/2006/relationships/hyperlink" Target="mailto:alvarocuello575@gmail.com" TargetMode="External"/><Relationship Id="rId34" Type="http://schemas.openxmlformats.org/officeDocument/2006/relationships/hyperlink" Target="mailto:nicolascm1028@gmail.com" TargetMode="External"/><Relationship Id="rId7" Type="http://schemas.openxmlformats.org/officeDocument/2006/relationships/hyperlink" Target="mailto:angiegaitan591@gmail.com" TargetMode="External"/><Relationship Id="rId12" Type="http://schemas.openxmlformats.org/officeDocument/2006/relationships/hyperlink" Target="mailto:santiago0212casti@gmail.com" TargetMode="External"/><Relationship Id="rId17" Type="http://schemas.openxmlformats.org/officeDocument/2006/relationships/hyperlink" Target="mailto:nmgarcia152009@gmail.com" TargetMode="External"/><Relationship Id="rId25" Type="http://schemas.openxmlformats.org/officeDocument/2006/relationships/hyperlink" Target="mailto:valcespedes08@gmail.com" TargetMode="External"/><Relationship Id="rId33" Type="http://schemas.openxmlformats.org/officeDocument/2006/relationships/hyperlink" Target="mailto:sam.alejo.602@gmail.com" TargetMode="External"/><Relationship Id="rId38" Type="http://schemas.openxmlformats.org/officeDocument/2006/relationships/hyperlink" Target="mailto:rodriguezsalinasandres10@gmail.com" TargetMode="External"/><Relationship Id="rId2" Type="http://schemas.openxmlformats.org/officeDocument/2006/relationships/hyperlink" Target="mailto:jaramilloasly4@gmail.com" TargetMode="External"/><Relationship Id="rId16" Type="http://schemas.openxmlformats.org/officeDocument/2006/relationships/hyperlink" Target="mailto:solecitocalderon2708@gmail.com" TargetMode="External"/><Relationship Id="rId20" Type="http://schemas.openxmlformats.org/officeDocument/2006/relationships/hyperlink" Target="mailto:andresfeliperomerorojas067@gmail.com" TargetMode="External"/><Relationship Id="rId29" Type="http://schemas.openxmlformats.org/officeDocument/2006/relationships/hyperlink" Target="mailto:duver0224@gmail.com" TargetMode="External"/><Relationship Id="rId1" Type="http://schemas.openxmlformats.org/officeDocument/2006/relationships/hyperlink" Target="mailto:carenacevedo2011@gmail.com" TargetMode="External"/><Relationship Id="rId6" Type="http://schemas.openxmlformats.org/officeDocument/2006/relationships/hyperlink" Target="mailto:ardillapaula92@gmail.com" TargetMode="External"/><Relationship Id="rId11" Type="http://schemas.openxmlformats.org/officeDocument/2006/relationships/hyperlink" Target="mailto:damianbenavides684@gmail.com" TargetMode="External"/><Relationship Id="rId24" Type="http://schemas.openxmlformats.org/officeDocument/2006/relationships/hyperlink" Target="mailto:mariacamilabuitragorengifo15@gmail.com" TargetMode="External"/><Relationship Id="rId32" Type="http://schemas.openxmlformats.org/officeDocument/2006/relationships/hyperlink" Target="mailto:mv8218407@gmail.com" TargetMode="External"/><Relationship Id="rId37" Type="http://schemas.openxmlformats.org/officeDocument/2006/relationships/hyperlink" Target="mailto:valentinavillada815@gmail.com" TargetMode="External"/><Relationship Id="rId5" Type="http://schemas.openxmlformats.org/officeDocument/2006/relationships/hyperlink" Target="mailto:silvanamontien@gmail.com" TargetMode="External"/><Relationship Id="rId15" Type="http://schemas.openxmlformats.org/officeDocument/2006/relationships/hyperlink" Target="mailto:esquibelbrayanextiven@gmail.com" TargetMode="External"/><Relationship Id="rId23" Type="http://schemas.openxmlformats.org/officeDocument/2006/relationships/hyperlink" Target="mailto:gomezbeltranlauracamila@gmail.com" TargetMode="External"/><Relationship Id="rId28" Type="http://schemas.openxmlformats.org/officeDocument/2006/relationships/hyperlink" Target="mailto:salazarorjuelaericksantiago@gmail.com" TargetMode="External"/><Relationship Id="rId36" Type="http://schemas.openxmlformats.org/officeDocument/2006/relationships/hyperlink" Target="mailto:sararomerot07@gmail.com" TargetMode="External"/><Relationship Id="rId10" Type="http://schemas.openxmlformats.org/officeDocument/2006/relationships/hyperlink" Target="mailto:carocastillosaranykol@gmail.com" TargetMode="External"/><Relationship Id="rId19" Type="http://schemas.openxmlformats.org/officeDocument/2006/relationships/hyperlink" Target="mailto:jennieisjenniein@gmail.com" TargetMode="External"/><Relationship Id="rId31" Type="http://schemas.openxmlformats.org/officeDocument/2006/relationships/hyperlink" Target="mailto:julianrmcxd@gmail.com" TargetMode="External"/><Relationship Id="rId4" Type="http://schemas.openxmlformats.org/officeDocument/2006/relationships/hyperlink" Target="mailto:estefaniamartinezromero22@gmail.com" TargetMode="External"/><Relationship Id="rId9" Type="http://schemas.openxmlformats.org/officeDocument/2006/relationships/hyperlink" Target="mailto:santiagolizcanopulido14@gmail.com" TargetMode="External"/><Relationship Id="rId14" Type="http://schemas.openxmlformats.org/officeDocument/2006/relationships/hyperlink" Target="mailto:contreras.gutierrez7dilan@gmail.com" TargetMode="External"/><Relationship Id="rId22" Type="http://schemas.openxmlformats.org/officeDocument/2006/relationships/hyperlink" Target="mailto:mari.ggutierrez41@gmail.com" TargetMode="External"/><Relationship Id="rId27" Type="http://schemas.openxmlformats.org/officeDocument/2006/relationships/hyperlink" Target="mailto:ramirezlizethtm23@gmail.com" TargetMode="External"/><Relationship Id="rId30" Type="http://schemas.openxmlformats.org/officeDocument/2006/relationships/hyperlink" Target="mailto:yurannygarciar@gmail.com" TargetMode="External"/><Relationship Id="rId35" Type="http://schemas.openxmlformats.org/officeDocument/2006/relationships/hyperlink" Target="mailto:valeriaherreragarcia51@gmail.com" TargetMode="External"/><Relationship Id="rId8" Type="http://schemas.openxmlformats.org/officeDocument/2006/relationships/hyperlink" Target="mailto:samuelsanabria458@gmail.com" TargetMode="External"/><Relationship Id="rId3" Type="http://schemas.openxmlformats.org/officeDocument/2006/relationships/hyperlink" Target="mailto:helennatalia1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DY257"/>
  <sheetViews>
    <sheetView showGridLines="0" topLeftCell="F1" zoomScaleNormal="100" workbookViewId="0">
      <selection activeCell="AG41" sqref="AG41:AG49"/>
    </sheetView>
  </sheetViews>
  <sheetFormatPr baseColWidth="10" defaultColWidth="11.25" defaultRowHeight="15" customHeight="1"/>
  <cols>
    <col min="1" max="1" width="3.625" customWidth="1"/>
    <col min="2" max="2" width="5.75" customWidth="1"/>
    <col min="3" max="3" width="11.5" customWidth="1"/>
    <col min="4" max="4" width="38.625" customWidth="1"/>
    <col min="5" max="5" width="15.625" customWidth="1"/>
    <col min="6" max="6" width="20.5" customWidth="1"/>
    <col min="7" max="14" width="3.375" customWidth="1"/>
    <col min="15" max="15" width="4" customWidth="1"/>
    <col min="16" max="101" width="3.25" customWidth="1"/>
    <col min="102" max="103" width="3.5" customWidth="1"/>
    <col min="104" max="105" width="3.625" customWidth="1"/>
    <col min="106" max="125" width="3.5" customWidth="1"/>
    <col min="126" max="127" width="6" customWidth="1"/>
    <col min="129" max="129" width="67" customWidth="1"/>
  </cols>
  <sheetData>
    <row r="1" spans="1:129" ht="24.75" customHeight="1">
      <c r="A1" s="175"/>
      <c r="B1" s="144"/>
      <c r="C1" s="176" t="s">
        <v>0</v>
      </c>
      <c r="D1" s="143"/>
      <c r="E1" s="143"/>
      <c r="F1" s="144"/>
      <c r="G1" s="180" t="s">
        <v>1</v>
      </c>
      <c r="H1" s="140"/>
      <c r="I1" s="140"/>
      <c r="J1" s="140"/>
      <c r="K1" s="140"/>
      <c r="L1" s="140"/>
      <c r="M1" s="140"/>
      <c r="N1" s="140"/>
      <c r="O1" s="140"/>
      <c r="P1" s="179"/>
      <c r="Q1" s="140"/>
      <c r="R1" s="140"/>
      <c r="S1" s="141"/>
      <c r="T1" s="156"/>
      <c r="U1" s="155"/>
      <c r="V1" s="155"/>
      <c r="W1" s="155"/>
      <c r="X1" s="154"/>
      <c r="Y1" s="155"/>
      <c r="Z1" s="155"/>
      <c r="AA1" s="155"/>
      <c r="AB1" s="156"/>
      <c r="AC1" s="155"/>
      <c r="AD1" s="155"/>
      <c r="AE1" s="155"/>
      <c r="AF1" s="155"/>
      <c r="AG1" s="155"/>
      <c r="AH1" s="155"/>
      <c r="AI1" s="155"/>
      <c r="AJ1" s="155"/>
      <c r="AK1" s="157"/>
      <c r="AL1" s="211"/>
      <c r="AM1" s="155"/>
      <c r="AN1" s="155"/>
      <c r="AO1" s="155"/>
      <c r="AP1" s="155"/>
      <c r="AQ1" s="155"/>
      <c r="AR1" s="155"/>
      <c r="AS1" s="155"/>
      <c r="AT1" s="155"/>
      <c r="AU1" s="212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213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5"/>
      <c r="CL1" s="155"/>
      <c r="CM1" s="155"/>
      <c r="CN1" s="155"/>
      <c r="CO1" s="155"/>
      <c r="CP1" s="155"/>
      <c r="CQ1" s="155"/>
      <c r="CR1" s="157"/>
      <c r="CS1" s="215" t="s">
        <v>2</v>
      </c>
      <c r="CT1" s="216"/>
      <c r="CU1" s="216"/>
      <c r="CV1" s="216"/>
      <c r="CW1" s="217"/>
      <c r="CX1" s="1"/>
      <c r="CY1" s="205" t="s">
        <v>3</v>
      </c>
      <c r="CZ1" s="206"/>
      <c r="DA1" s="206"/>
      <c r="DB1" s="206"/>
      <c r="DC1" s="206"/>
      <c r="DD1" s="206"/>
      <c r="DE1" s="206"/>
      <c r="DF1" s="206"/>
      <c r="DG1" s="206"/>
      <c r="DH1" s="1"/>
      <c r="DI1" s="1"/>
      <c r="DJ1" s="1"/>
      <c r="DK1" s="1"/>
      <c r="DL1" s="1"/>
      <c r="DM1" s="2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9" ht="16.5">
      <c r="A2" s="145"/>
      <c r="B2" s="147"/>
      <c r="C2" s="145"/>
      <c r="D2" s="146"/>
      <c r="E2" s="146"/>
      <c r="F2" s="147"/>
      <c r="G2" s="180" t="s">
        <v>4</v>
      </c>
      <c r="H2" s="140"/>
      <c r="I2" s="140"/>
      <c r="J2" s="140"/>
      <c r="K2" s="140"/>
      <c r="L2" s="140"/>
      <c r="M2" s="140"/>
      <c r="N2" s="140"/>
      <c r="O2" s="140"/>
      <c r="P2" s="192"/>
      <c r="Q2" s="146"/>
      <c r="R2" s="146"/>
      <c r="S2" s="146"/>
      <c r="T2" s="186"/>
      <c r="U2" s="140"/>
      <c r="V2" s="140"/>
      <c r="W2" s="159"/>
      <c r="X2" s="187"/>
      <c r="Y2" s="140"/>
      <c r="Z2" s="140"/>
      <c r="AA2" s="140"/>
      <c r="AB2" s="158"/>
      <c r="AC2" s="140"/>
      <c r="AD2" s="140"/>
      <c r="AE2" s="140"/>
      <c r="AF2" s="140"/>
      <c r="AG2" s="140"/>
      <c r="AH2" s="140"/>
      <c r="AI2" s="140"/>
      <c r="AJ2" s="140"/>
      <c r="AK2" s="159"/>
      <c r="AL2" s="187"/>
      <c r="AM2" s="140"/>
      <c r="AN2" s="140"/>
      <c r="AO2" s="140"/>
      <c r="AP2" s="140"/>
      <c r="AQ2" s="140"/>
      <c r="AR2" s="140"/>
      <c r="AS2" s="140"/>
      <c r="AT2" s="140"/>
      <c r="AU2" s="186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220"/>
      <c r="BW2" s="140"/>
      <c r="BX2" s="140"/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0"/>
      <c r="CL2" s="140"/>
      <c r="CM2" s="140"/>
      <c r="CN2" s="140"/>
      <c r="CO2" s="140"/>
      <c r="CP2" s="140"/>
      <c r="CQ2" s="140"/>
      <c r="CR2" s="159"/>
      <c r="CS2" s="218"/>
      <c r="CT2" s="206"/>
      <c r="CU2" s="206"/>
      <c r="CV2" s="206"/>
      <c r="CW2" s="219"/>
      <c r="CX2" s="1"/>
      <c r="CY2" s="207">
        <f>COUNTA('BASE DE DATOS'!B26:B50)</f>
        <v>25</v>
      </c>
      <c r="CZ2" s="164"/>
      <c r="DA2" s="164"/>
      <c r="DB2" s="164"/>
      <c r="DC2" s="164"/>
      <c r="DD2" s="164"/>
      <c r="DE2" s="164"/>
      <c r="DF2" s="164"/>
      <c r="DG2" s="164"/>
      <c r="DH2" s="1"/>
      <c r="DI2" s="1"/>
      <c r="DJ2" s="1"/>
      <c r="DK2" s="1"/>
      <c r="DL2" s="1"/>
      <c r="DM2" s="2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9" ht="16.5">
      <c r="A3" s="139" t="s">
        <v>5</v>
      </c>
      <c r="B3" s="140"/>
      <c r="C3" s="141"/>
      <c r="D3" s="177" t="s">
        <v>131</v>
      </c>
      <c r="E3" s="140"/>
      <c r="F3" s="141"/>
      <c r="G3" s="161" t="s">
        <v>6</v>
      </c>
      <c r="H3" s="140"/>
      <c r="I3" s="140"/>
      <c r="J3" s="140"/>
      <c r="K3" s="140"/>
      <c r="L3" s="140"/>
      <c r="M3" s="140"/>
      <c r="N3" s="140"/>
      <c r="O3" s="140"/>
      <c r="P3" s="178"/>
      <c r="Q3" s="140"/>
      <c r="R3" s="140"/>
      <c r="S3" s="140"/>
      <c r="T3" s="174"/>
      <c r="U3" s="140"/>
      <c r="V3" s="140"/>
      <c r="W3" s="159"/>
      <c r="X3" s="188"/>
      <c r="Y3" s="140"/>
      <c r="Z3" s="140"/>
      <c r="AA3" s="140"/>
      <c r="AB3" s="174"/>
      <c r="AC3" s="140"/>
      <c r="AD3" s="140"/>
      <c r="AE3" s="140"/>
      <c r="AF3" s="140"/>
      <c r="AG3" s="140"/>
      <c r="AH3" s="140"/>
      <c r="AI3" s="140"/>
      <c r="AJ3" s="140"/>
      <c r="AK3" s="159"/>
      <c r="AL3" s="214"/>
      <c r="AM3" s="140"/>
      <c r="AN3" s="140"/>
      <c r="AO3" s="140"/>
      <c r="AP3" s="140"/>
      <c r="AQ3" s="140"/>
      <c r="AR3" s="140"/>
      <c r="AS3" s="140"/>
      <c r="AT3" s="140"/>
      <c r="AU3" s="208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221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59"/>
      <c r="CS3" s="218"/>
      <c r="CT3" s="206"/>
      <c r="CU3" s="206"/>
      <c r="CV3" s="206"/>
      <c r="CW3" s="219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2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9" ht="15.75">
      <c r="A4" s="139" t="s">
        <v>7</v>
      </c>
      <c r="B4" s="140"/>
      <c r="C4" s="141"/>
      <c r="D4" s="160" t="s">
        <v>127</v>
      </c>
      <c r="E4" s="140"/>
      <c r="F4" s="141"/>
      <c r="G4" s="162" t="s">
        <v>8</v>
      </c>
      <c r="H4" s="143"/>
      <c r="I4" s="143"/>
      <c r="J4" s="143"/>
      <c r="K4" s="143"/>
      <c r="L4" s="143"/>
      <c r="M4" s="143"/>
      <c r="N4" s="143"/>
      <c r="O4" s="143"/>
      <c r="P4" s="165"/>
      <c r="Q4" s="143"/>
      <c r="R4" s="143"/>
      <c r="S4" s="143"/>
      <c r="T4" s="168"/>
      <c r="U4" s="143"/>
      <c r="V4" s="143"/>
      <c r="W4" s="169"/>
      <c r="X4" s="171"/>
      <c r="Y4" s="143"/>
      <c r="Z4" s="143"/>
      <c r="AA4" s="143"/>
      <c r="AB4" s="172"/>
      <c r="AC4" s="143"/>
      <c r="AD4" s="143"/>
      <c r="AE4" s="143"/>
      <c r="AF4" s="143"/>
      <c r="AG4" s="143"/>
      <c r="AH4" s="143"/>
      <c r="AI4" s="143"/>
      <c r="AJ4" s="143"/>
      <c r="AK4" s="169"/>
      <c r="AL4" s="222"/>
      <c r="AM4" s="143"/>
      <c r="AN4" s="143"/>
      <c r="AO4" s="143"/>
      <c r="AP4" s="143"/>
      <c r="AQ4" s="143"/>
      <c r="AR4" s="143"/>
      <c r="AS4" s="143"/>
      <c r="AT4" s="169"/>
      <c r="AU4" s="209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3"/>
      <c r="BO4" s="143"/>
      <c r="BP4" s="143"/>
      <c r="BQ4" s="143"/>
      <c r="BR4" s="143"/>
      <c r="BS4" s="143"/>
      <c r="BT4" s="143"/>
      <c r="BU4" s="143"/>
      <c r="BV4" s="210"/>
      <c r="BW4" s="143"/>
      <c r="BX4" s="143"/>
      <c r="BY4" s="143"/>
      <c r="BZ4" s="143"/>
      <c r="CA4" s="143"/>
      <c r="CB4" s="143"/>
      <c r="CC4" s="143"/>
      <c r="CD4" s="143"/>
      <c r="CE4" s="143"/>
      <c r="CF4" s="143"/>
      <c r="CG4" s="143"/>
      <c r="CH4" s="143"/>
      <c r="CI4" s="143"/>
      <c r="CJ4" s="143"/>
      <c r="CK4" s="143"/>
      <c r="CL4" s="143"/>
      <c r="CM4" s="143"/>
      <c r="CN4" s="143"/>
      <c r="CO4" s="143"/>
      <c r="CP4" s="143"/>
      <c r="CQ4" s="143"/>
      <c r="CR4" s="169"/>
      <c r="CS4" s="218"/>
      <c r="CT4" s="206"/>
      <c r="CU4" s="206"/>
      <c r="CV4" s="206"/>
      <c r="CW4" s="219"/>
      <c r="CX4" s="1"/>
      <c r="CY4" s="196" t="s">
        <v>9</v>
      </c>
      <c r="CZ4" s="197"/>
      <c r="DA4" s="198" t="s">
        <v>10</v>
      </c>
      <c r="DB4" s="199"/>
      <c r="DC4" s="199"/>
      <c r="DD4" s="199"/>
      <c r="DE4" s="199"/>
      <c r="DF4" s="199"/>
      <c r="DG4" s="197"/>
      <c r="DH4" s="1"/>
      <c r="DI4" s="1"/>
      <c r="DJ4" s="196" t="s">
        <v>11</v>
      </c>
      <c r="DK4" s="197"/>
      <c r="DL4" s="198" t="s">
        <v>12</v>
      </c>
      <c r="DM4" s="199"/>
      <c r="DN4" s="199"/>
      <c r="DO4" s="199"/>
      <c r="DP4" s="199"/>
      <c r="DQ4" s="199"/>
      <c r="DR4" s="197"/>
      <c r="DS4" s="1"/>
      <c r="DT4" s="1"/>
      <c r="DU4" s="1"/>
      <c r="DV4" s="1"/>
      <c r="DW4" s="1"/>
    </row>
    <row r="5" spans="1:129" ht="15.75">
      <c r="A5" s="139" t="s">
        <v>13</v>
      </c>
      <c r="B5" s="140"/>
      <c r="C5" s="141"/>
      <c r="D5" s="173" t="str">
        <f>'BASE DE DATOS'!C7</f>
        <v>COLEGIO JUAN LUIS LONDOÑO I.E.D. LA SALLE</v>
      </c>
      <c r="E5" s="140"/>
      <c r="F5" s="141"/>
      <c r="G5" s="163"/>
      <c r="H5" s="164"/>
      <c r="I5" s="164"/>
      <c r="J5" s="164"/>
      <c r="K5" s="164"/>
      <c r="L5" s="164"/>
      <c r="M5" s="164"/>
      <c r="N5" s="164"/>
      <c r="O5" s="164"/>
      <c r="P5" s="166"/>
      <c r="Q5" s="167"/>
      <c r="R5" s="167"/>
      <c r="S5" s="167"/>
      <c r="T5" s="166"/>
      <c r="U5" s="167"/>
      <c r="V5" s="167"/>
      <c r="W5" s="170"/>
      <c r="X5" s="166"/>
      <c r="Y5" s="167"/>
      <c r="Z5" s="167"/>
      <c r="AA5" s="167"/>
      <c r="AB5" s="166"/>
      <c r="AC5" s="167"/>
      <c r="AD5" s="167"/>
      <c r="AE5" s="167"/>
      <c r="AF5" s="167"/>
      <c r="AG5" s="167"/>
      <c r="AH5" s="167"/>
      <c r="AI5" s="167"/>
      <c r="AJ5" s="167"/>
      <c r="AK5" s="170"/>
      <c r="AL5" s="166"/>
      <c r="AM5" s="167"/>
      <c r="AN5" s="167"/>
      <c r="AO5" s="167"/>
      <c r="AP5" s="167"/>
      <c r="AQ5" s="167"/>
      <c r="AR5" s="167"/>
      <c r="AS5" s="167"/>
      <c r="AT5" s="170"/>
      <c r="AU5" s="166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  <c r="BS5" s="167"/>
      <c r="BT5" s="167"/>
      <c r="BU5" s="167"/>
      <c r="BV5" s="166"/>
      <c r="BW5" s="167"/>
      <c r="BX5" s="167"/>
      <c r="BY5" s="167"/>
      <c r="BZ5" s="167"/>
      <c r="CA5" s="167"/>
      <c r="CB5" s="167"/>
      <c r="CC5" s="167"/>
      <c r="CD5" s="167"/>
      <c r="CE5" s="167"/>
      <c r="CF5" s="167"/>
      <c r="CG5" s="167"/>
      <c r="CH5" s="167"/>
      <c r="CI5" s="167"/>
      <c r="CJ5" s="167"/>
      <c r="CK5" s="167"/>
      <c r="CL5" s="167"/>
      <c r="CM5" s="167"/>
      <c r="CN5" s="167"/>
      <c r="CO5" s="167"/>
      <c r="CP5" s="167"/>
      <c r="CQ5" s="167"/>
      <c r="CR5" s="170"/>
      <c r="CS5" s="166"/>
      <c r="CT5" s="167"/>
      <c r="CU5" s="167"/>
      <c r="CV5" s="167"/>
      <c r="CW5" s="170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9" ht="15.75">
      <c r="A6" s="139" t="s">
        <v>14</v>
      </c>
      <c r="B6" s="140"/>
      <c r="C6" s="141"/>
      <c r="D6" s="3">
        <f>'BASE DE DATOS'!C4</f>
        <v>3415417</v>
      </c>
      <c r="E6" s="4" t="s">
        <v>15</v>
      </c>
      <c r="F6" s="5">
        <f>'BASE DE DATOS'!G7</f>
        <v>10</v>
      </c>
      <c r="G6" s="142" t="str">
        <f>CY1 &amp; " " &amp; CY2</f>
        <v>TOTAL APRENDICES MATRICULADOS: 25</v>
      </c>
      <c r="H6" s="143"/>
      <c r="I6" s="143"/>
      <c r="J6" s="143"/>
      <c r="K6" s="143"/>
      <c r="L6" s="143"/>
      <c r="M6" s="143"/>
      <c r="N6" s="143"/>
      <c r="O6" s="144"/>
      <c r="P6" s="6" t="str">
        <f t="shared" ref="P6:CW6" si="0">TEXT(P7,"MMM")</f>
        <v>mar</v>
      </c>
      <c r="Q6" s="7" t="str">
        <f t="shared" si="0"/>
        <v>mar</v>
      </c>
      <c r="R6" s="7" t="str">
        <f t="shared" si="0"/>
        <v>mar</v>
      </c>
      <c r="S6" s="7" t="str">
        <f t="shared" si="0"/>
        <v>mar</v>
      </c>
      <c r="T6" s="7" t="str">
        <f t="shared" si="0"/>
        <v>mar</v>
      </c>
      <c r="U6" s="7" t="str">
        <f t="shared" si="0"/>
        <v>mar</v>
      </c>
      <c r="V6" s="7" t="str">
        <f t="shared" si="0"/>
        <v>mar</v>
      </c>
      <c r="W6" s="7" t="str">
        <f t="shared" si="0"/>
        <v>mar</v>
      </c>
      <c r="X6" s="7" t="str">
        <f t="shared" si="0"/>
        <v>mar</v>
      </c>
      <c r="Y6" s="7" t="str">
        <f t="shared" si="0"/>
        <v>abr</v>
      </c>
      <c r="Z6" s="7" t="str">
        <f t="shared" si="0"/>
        <v>abr</v>
      </c>
      <c r="AA6" s="7" t="str">
        <f t="shared" si="0"/>
        <v>abr</v>
      </c>
      <c r="AB6" s="7" t="str">
        <f t="shared" si="0"/>
        <v>abr</v>
      </c>
      <c r="AC6" s="7" t="str">
        <f t="shared" si="0"/>
        <v>abr</v>
      </c>
      <c r="AD6" s="7" t="str">
        <f t="shared" si="0"/>
        <v>abr</v>
      </c>
      <c r="AE6" s="7" t="str">
        <f t="shared" si="0"/>
        <v>abr</v>
      </c>
      <c r="AF6" s="7" t="str">
        <f t="shared" si="0"/>
        <v>abr</v>
      </c>
      <c r="AG6" s="7" t="str">
        <f t="shared" si="0"/>
        <v>abr</v>
      </c>
      <c r="AH6" s="7" t="str">
        <f t="shared" si="0"/>
        <v>may</v>
      </c>
      <c r="AI6" s="7" t="str">
        <f t="shared" si="0"/>
        <v>may</v>
      </c>
      <c r="AJ6" s="7" t="str">
        <f t="shared" si="0"/>
        <v>may</v>
      </c>
      <c r="AK6" s="7" t="str">
        <f t="shared" si="0"/>
        <v>may</v>
      </c>
      <c r="AL6" s="7" t="str">
        <f t="shared" si="0"/>
        <v>may</v>
      </c>
      <c r="AM6" s="7" t="str">
        <f t="shared" si="0"/>
        <v>may</v>
      </c>
      <c r="AN6" s="7" t="str">
        <f t="shared" si="0"/>
        <v>may</v>
      </c>
      <c r="AO6" s="7" t="str">
        <f t="shared" si="0"/>
        <v>may</v>
      </c>
      <c r="AP6" s="7" t="str">
        <f t="shared" si="0"/>
        <v>jun</v>
      </c>
      <c r="AQ6" s="7" t="str">
        <f t="shared" si="0"/>
        <v>jun</v>
      </c>
      <c r="AR6" s="7" t="str">
        <f t="shared" si="0"/>
        <v>jun</v>
      </c>
      <c r="AS6" s="7" t="str">
        <f t="shared" si="0"/>
        <v>jun</v>
      </c>
      <c r="AT6" s="7" t="str">
        <f t="shared" si="0"/>
        <v>jun</v>
      </c>
      <c r="AU6" s="7" t="str">
        <f t="shared" si="0"/>
        <v>jun</v>
      </c>
      <c r="AV6" s="7" t="str">
        <f t="shared" si="0"/>
        <v>jun</v>
      </c>
      <c r="AW6" s="7" t="str">
        <f t="shared" si="0"/>
        <v>jun</v>
      </c>
      <c r="AX6" s="7" t="str">
        <f t="shared" si="0"/>
        <v>jun</v>
      </c>
      <c r="AY6" s="7" t="str">
        <f t="shared" si="0"/>
        <v>jul</v>
      </c>
      <c r="AZ6" s="7" t="str">
        <f t="shared" si="0"/>
        <v>jul</v>
      </c>
      <c r="BA6" s="7" t="str">
        <f t="shared" si="0"/>
        <v>jul</v>
      </c>
      <c r="BB6" s="7" t="str">
        <f t="shared" si="0"/>
        <v>jul</v>
      </c>
      <c r="BC6" s="7" t="str">
        <f t="shared" si="0"/>
        <v>jul</v>
      </c>
      <c r="BD6" s="7" t="str">
        <f t="shared" si="0"/>
        <v>jul</v>
      </c>
      <c r="BE6" s="7" t="str">
        <f t="shared" si="0"/>
        <v>jul</v>
      </c>
      <c r="BF6" s="7" t="str">
        <f t="shared" si="0"/>
        <v>jul</v>
      </c>
      <c r="BG6" s="7" t="str">
        <f t="shared" si="0"/>
        <v>jul</v>
      </c>
      <c r="BH6" s="7" t="str">
        <f t="shared" si="0"/>
        <v>ago</v>
      </c>
      <c r="BI6" s="7" t="str">
        <f t="shared" si="0"/>
        <v>ago</v>
      </c>
      <c r="BJ6" s="7" t="str">
        <f t="shared" si="0"/>
        <v>ago</v>
      </c>
      <c r="BK6" s="7" t="str">
        <f t="shared" si="0"/>
        <v>ago</v>
      </c>
      <c r="BL6" s="7" t="str">
        <f t="shared" si="0"/>
        <v>ago</v>
      </c>
      <c r="BM6" s="7" t="str">
        <f t="shared" si="0"/>
        <v>ago</v>
      </c>
      <c r="BN6" s="7" t="str">
        <f t="shared" si="0"/>
        <v>ago</v>
      </c>
      <c r="BO6" s="7" t="str">
        <f t="shared" si="0"/>
        <v>ago</v>
      </c>
      <c r="BP6" s="7" t="str">
        <f t="shared" si="0"/>
        <v>ago</v>
      </c>
      <c r="BQ6" s="7" t="str">
        <f t="shared" si="0"/>
        <v>sep</v>
      </c>
      <c r="BR6" s="7" t="str">
        <f t="shared" si="0"/>
        <v>sep</v>
      </c>
      <c r="BS6" s="7" t="str">
        <f t="shared" si="0"/>
        <v>sep</v>
      </c>
      <c r="BT6" s="7" t="str">
        <f t="shared" si="0"/>
        <v>sep</v>
      </c>
      <c r="BU6" s="7" t="str">
        <f t="shared" si="0"/>
        <v>sep</v>
      </c>
      <c r="BV6" s="7" t="str">
        <f t="shared" si="0"/>
        <v>sep</v>
      </c>
      <c r="BW6" s="7" t="str">
        <f t="shared" si="0"/>
        <v>sep</v>
      </c>
      <c r="BX6" s="7" t="str">
        <f t="shared" si="0"/>
        <v>sep</v>
      </c>
      <c r="BY6" s="7" t="str">
        <f t="shared" si="0"/>
        <v>sep</v>
      </c>
      <c r="BZ6" s="7" t="str">
        <f t="shared" si="0"/>
        <v>oct</v>
      </c>
      <c r="CA6" s="7" t="str">
        <f t="shared" si="0"/>
        <v>oct</v>
      </c>
      <c r="CB6" s="7" t="str">
        <f t="shared" si="0"/>
        <v>oct</v>
      </c>
      <c r="CC6" s="7" t="str">
        <f t="shared" si="0"/>
        <v>oct</v>
      </c>
      <c r="CD6" s="7" t="str">
        <f t="shared" si="0"/>
        <v>oct</v>
      </c>
      <c r="CE6" s="7" t="str">
        <f t="shared" si="0"/>
        <v>oct</v>
      </c>
      <c r="CF6" s="7" t="str">
        <f t="shared" si="0"/>
        <v>oct</v>
      </c>
      <c r="CG6" s="7" t="str">
        <f t="shared" si="0"/>
        <v>oct</v>
      </c>
      <c r="CH6" s="7" t="str">
        <f t="shared" si="0"/>
        <v>nov</v>
      </c>
      <c r="CI6" s="7" t="str">
        <f t="shared" si="0"/>
        <v>nov</v>
      </c>
      <c r="CJ6" s="7" t="str">
        <f t="shared" si="0"/>
        <v>nov</v>
      </c>
      <c r="CK6" s="7" t="str">
        <f t="shared" si="0"/>
        <v>nov</v>
      </c>
      <c r="CL6" s="7" t="str">
        <f t="shared" si="0"/>
        <v>nov</v>
      </c>
      <c r="CM6" s="7" t="str">
        <f t="shared" si="0"/>
        <v>nov</v>
      </c>
      <c r="CN6" s="7" t="str">
        <f t="shared" si="0"/>
        <v>nov</v>
      </c>
      <c r="CO6" s="7" t="str">
        <f t="shared" si="0"/>
        <v>nov</v>
      </c>
      <c r="CP6" s="7" t="str">
        <f t="shared" si="0"/>
        <v>nov</v>
      </c>
      <c r="CQ6" s="7" t="str">
        <f t="shared" si="0"/>
        <v>dic</v>
      </c>
      <c r="CR6" s="7" t="str">
        <f t="shared" si="0"/>
        <v>dic</v>
      </c>
      <c r="CS6" s="7" t="str">
        <f t="shared" si="0"/>
        <v>dic</v>
      </c>
      <c r="CT6" s="7" t="str">
        <f t="shared" si="0"/>
        <v>dic</v>
      </c>
      <c r="CU6" s="7" t="str">
        <f t="shared" si="0"/>
        <v>dic</v>
      </c>
      <c r="CV6" s="7" t="str">
        <f t="shared" si="0"/>
        <v>dic</v>
      </c>
      <c r="CW6" s="7" t="str">
        <f t="shared" si="0"/>
        <v>dic</v>
      </c>
      <c r="CX6" s="200" t="s">
        <v>16</v>
      </c>
      <c r="CY6" s="201"/>
      <c r="CZ6" s="201"/>
      <c r="DA6" s="201"/>
      <c r="DB6" s="201"/>
      <c r="DC6" s="201"/>
      <c r="DD6" s="201"/>
      <c r="DE6" s="201"/>
      <c r="DF6" s="201"/>
      <c r="DG6" s="201"/>
      <c r="DH6" s="201"/>
      <c r="DI6" s="201"/>
      <c r="DJ6" s="201"/>
      <c r="DK6" s="201"/>
      <c r="DL6" s="201"/>
      <c r="DM6" s="201"/>
      <c r="DN6" s="201"/>
      <c r="DO6" s="201"/>
      <c r="DP6" s="201"/>
      <c r="DQ6" s="201"/>
      <c r="DR6" s="201"/>
      <c r="DS6" s="201"/>
      <c r="DT6" s="201"/>
      <c r="DU6" s="201"/>
      <c r="DV6" s="201"/>
      <c r="DW6" s="201"/>
    </row>
    <row r="7" spans="1:129" ht="22.5">
      <c r="A7" s="148" t="s">
        <v>17</v>
      </c>
      <c r="B7" s="140"/>
      <c r="C7" s="141"/>
      <c r="D7" s="8">
        <f>'BASE DE DATOS'!G5</f>
        <v>46083</v>
      </c>
      <c r="E7" s="9" t="s">
        <v>18</v>
      </c>
      <c r="F7" s="10">
        <f>'BASE DE DATOS'!G6</f>
        <v>46085</v>
      </c>
      <c r="G7" s="145"/>
      <c r="H7" s="146"/>
      <c r="I7" s="146"/>
      <c r="J7" s="146"/>
      <c r="K7" s="146"/>
      <c r="L7" s="146"/>
      <c r="M7" s="146"/>
      <c r="N7" s="146"/>
      <c r="O7" s="147"/>
      <c r="P7" s="11">
        <f>D7</f>
        <v>46083</v>
      </c>
      <c r="Q7" s="12">
        <f>F7</f>
        <v>46085</v>
      </c>
      <c r="R7" s="12">
        <f>IF('BASE DE DATOS'!$G$4=1,(Q7+7),IF('BASE DE DATOS'!$G$4=2,(P7+7)))</f>
        <v>46090</v>
      </c>
      <c r="S7" s="12">
        <f>IF('BASE DE DATOS'!$G$4=1,(R7+7),IF('BASE DE DATOS'!$G$4=2,(Q7+7)))</f>
        <v>46092</v>
      </c>
      <c r="T7" s="12">
        <f>IF('BASE DE DATOS'!$G$4=1,(S7+7),IF('BASE DE DATOS'!$G$4=2,(R7+7)))</f>
        <v>46097</v>
      </c>
      <c r="U7" s="12">
        <f>IF('BASE DE DATOS'!$G$4=1,(T7+7),IF('BASE DE DATOS'!$G$4=2,(S7+7)))</f>
        <v>46099</v>
      </c>
      <c r="V7" s="12">
        <f>IF('BASE DE DATOS'!$G$4=1,(U7+7),IF('BASE DE DATOS'!$G$4=2,(T7+7)))</f>
        <v>46104</v>
      </c>
      <c r="W7" s="12">
        <f>IF('BASE DE DATOS'!$G$4=1,(V7+7),IF('BASE DE DATOS'!$G$4=2,(U7+7)))</f>
        <v>46106</v>
      </c>
      <c r="X7" s="12">
        <f>IF('BASE DE DATOS'!$G$4=1,(W7+7),IF('BASE DE DATOS'!$G$4=2,(V7+7)))</f>
        <v>46111</v>
      </c>
      <c r="Y7" s="12">
        <f>IF('BASE DE DATOS'!$G$4=1,(X7+7),IF('BASE DE DATOS'!$G$4=2,(W7+7)))</f>
        <v>46113</v>
      </c>
      <c r="Z7" s="12">
        <f>IF('BASE DE DATOS'!$G$4=1,(Y7+7),IF('BASE DE DATOS'!$G$4=2,(X7+7)))</f>
        <v>46118</v>
      </c>
      <c r="AA7" s="12">
        <f>IF('BASE DE DATOS'!$G$4=1,(Z7+7),IF('BASE DE DATOS'!$G$4=2,(Y7+7)))</f>
        <v>46120</v>
      </c>
      <c r="AB7" s="12">
        <f>IF('BASE DE DATOS'!$G$4=1,(AA7+7),IF('BASE DE DATOS'!$G$4=2,(Z7+7)))</f>
        <v>46125</v>
      </c>
      <c r="AC7" s="12">
        <f>IF('BASE DE DATOS'!$G$4=1,(AB7+7),IF('BASE DE DATOS'!$G$4=2,(AA7+7)))</f>
        <v>46127</v>
      </c>
      <c r="AD7" s="12">
        <f>IF('BASE DE DATOS'!$G$4=1,(AC7+7),IF('BASE DE DATOS'!$G$4=2,(AB7+7)))</f>
        <v>46132</v>
      </c>
      <c r="AE7" s="12">
        <f>IF('BASE DE DATOS'!$G$4=1,(AD7+7),IF('BASE DE DATOS'!$G$4=2,(AC7+7)))</f>
        <v>46134</v>
      </c>
      <c r="AF7" s="12">
        <f>IF('BASE DE DATOS'!$G$4=1,(AE7+7),IF('BASE DE DATOS'!$G$4=2,(AD7+7)))</f>
        <v>46139</v>
      </c>
      <c r="AG7" s="12">
        <f>IF('BASE DE DATOS'!$G$4=1,(AF7+7),IF('BASE DE DATOS'!$G$4=2,(AE7+7)))</f>
        <v>46141</v>
      </c>
      <c r="AH7" s="12">
        <f>IF('BASE DE DATOS'!$G$4=1,(AG7+7),IF('BASE DE DATOS'!$G$4=2,(AF7+7)))</f>
        <v>46146</v>
      </c>
      <c r="AI7" s="12">
        <f>IF('BASE DE DATOS'!$G$4=1,(AH7+7),IF('BASE DE DATOS'!$G$4=2,(AG7+7)))</f>
        <v>46148</v>
      </c>
      <c r="AJ7" s="12">
        <f>IF('BASE DE DATOS'!$G$4=1,(AI7+7),IF('BASE DE DATOS'!$G$4=2,(AH7+7)))</f>
        <v>46153</v>
      </c>
      <c r="AK7" s="12">
        <f>IF('BASE DE DATOS'!$G$4=1,(AJ7+7),IF('BASE DE DATOS'!$G$4=2,(AI7+7)))</f>
        <v>46155</v>
      </c>
      <c r="AL7" s="12">
        <f>IF('BASE DE DATOS'!$G$4=1,(AK7+7),IF('BASE DE DATOS'!$G$4=2,(AJ7+7)))</f>
        <v>46160</v>
      </c>
      <c r="AM7" s="12">
        <f>IF('BASE DE DATOS'!$G$4=1,(AL7+7),IF('BASE DE DATOS'!$G$4=2,(AK7+7)))</f>
        <v>46162</v>
      </c>
      <c r="AN7" s="12">
        <f>IF('BASE DE DATOS'!$G$4=1,(AM7+7),IF('BASE DE DATOS'!$G$4=2,(AL7+7)))</f>
        <v>46167</v>
      </c>
      <c r="AO7" s="12">
        <f>IF('BASE DE DATOS'!$G$4=1,(AN7+7),IF('BASE DE DATOS'!$G$4=2,(AM7+7)))</f>
        <v>46169</v>
      </c>
      <c r="AP7" s="12">
        <f>IF('BASE DE DATOS'!$G$4=1,(AO7+7),IF('BASE DE DATOS'!$G$4=2,(AN7+7)))</f>
        <v>46174</v>
      </c>
      <c r="AQ7" s="12">
        <f>IF('BASE DE DATOS'!$G$4=1,(AP7+7),IF('BASE DE DATOS'!$G$4=2,(AO7+7)))</f>
        <v>46176</v>
      </c>
      <c r="AR7" s="12">
        <f>IF('BASE DE DATOS'!$G$4=1,(AQ7+7),IF('BASE DE DATOS'!$G$4=2,(AP7+7)))</f>
        <v>46181</v>
      </c>
      <c r="AS7" s="12">
        <f>IF('BASE DE DATOS'!$G$4=1,(AR7+7),IF('BASE DE DATOS'!$G$4=2,(AQ7+7)))</f>
        <v>46183</v>
      </c>
      <c r="AT7" s="12">
        <f>IF('BASE DE DATOS'!$G$4=1,(AS7+7),IF('BASE DE DATOS'!$G$4=2,(AR7+7)))</f>
        <v>46188</v>
      </c>
      <c r="AU7" s="12">
        <f>IF('BASE DE DATOS'!$G$4=1,(AT7+7),IF('BASE DE DATOS'!$G$4=2,(AS7+7)))</f>
        <v>46190</v>
      </c>
      <c r="AV7" s="12">
        <f>IF('BASE DE DATOS'!$G$4=1,(AU7+7),IF('BASE DE DATOS'!$G$4=2,(AT7+7)))</f>
        <v>46195</v>
      </c>
      <c r="AW7" s="12">
        <f>IF('BASE DE DATOS'!$G$4=1,(AV7+7),IF('BASE DE DATOS'!$G$4=2,(AU7+7)))</f>
        <v>46197</v>
      </c>
      <c r="AX7" s="12">
        <f>IF('BASE DE DATOS'!$G$4=1,(AW7+7),IF('BASE DE DATOS'!$G$4=2,(AV7+7)))</f>
        <v>46202</v>
      </c>
      <c r="AY7" s="12">
        <f>IF('BASE DE DATOS'!$G$4=1,(AX7+7),IF('BASE DE DATOS'!$G$4=2,(AW7+7)))</f>
        <v>46204</v>
      </c>
      <c r="AZ7" s="12">
        <f>IF('BASE DE DATOS'!$G$4=1,(AY7+7),IF('BASE DE DATOS'!$G$4=2,(AX7+7)))</f>
        <v>46209</v>
      </c>
      <c r="BA7" s="12">
        <f>IF('BASE DE DATOS'!$G$4=1,(AZ7+7),IF('BASE DE DATOS'!$G$4=2,(AY7+7)))</f>
        <v>46211</v>
      </c>
      <c r="BB7" s="12">
        <f>IF('BASE DE DATOS'!$G$4=1,(BA7+7),IF('BASE DE DATOS'!$G$4=2,(AZ7+7)))</f>
        <v>46216</v>
      </c>
      <c r="BC7" s="12">
        <f>IF('BASE DE DATOS'!$G$4=1,(BB7+7),IF('BASE DE DATOS'!$G$4=2,(BA7+7)))</f>
        <v>46218</v>
      </c>
      <c r="BD7" s="12">
        <f>IF('BASE DE DATOS'!$G$4=1,(BC7+7),IF('BASE DE DATOS'!$G$4=2,(BB7+7)))</f>
        <v>46223</v>
      </c>
      <c r="BE7" s="12">
        <f>IF('BASE DE DATOS'!$G$4=1,(BD7+7),IF('BASE DE DATOS'!$G$4=2,(BC7+7)))</f>
        <v>46225</v>
      </c>
      <c r="BF7" s="12">
        <f>IF('BASE DE DATOS'!$G$4=1,(BE7+7),IF('BASE DE DATOS'!$G$4=2,(BD7+7)))</f>
        <v>46230</v>
      </c>
      <c r="BG7" s="12">
        <f>IF('BASE DE DATOS'!$G$4=1,(BF7+7),IF('BASE DE DATOS'!$G$4=2,(BE7+7)))</f>
        <v>46232</v>
      </c>
      <c r="BH7" s="12">
        <f>IF('BASE DE DATOS'!$G$4=1,(BG7+7),IF('BASE DE DATOS'!$G$4=2,(BF7+7)))</f>
        <v>46237</v>
      </c>
      <c r="BI7" s="12">
        <f>IF('BASE DE DATOS'!$G$4=1,(BH7+7),IF('BASE DE DATOS'!$G$4=2,(BG7+7)))</f>
        <v>46239</v>
      </c>
      <c r="BJ7" s="12">
        <f>IF('BASE DE DATOS'!$G$4=1,(BI7+7),IF('BASE DE DATOS'!$G$4=2,(BH7+7)))</f>
        <v>46244</v>
      </c>
      <c r="BK7" s="12">
        <f>IF('BASE DE DATOS'!$G$4=1,(BJ7+7),IF('BASE DE DATOS'!$G$4=2,(BI7+7)))</f>
        <v>46246</v>
      </c>
      <c r="BL7" s="12">
        <f>IF('BASE DE DATOS'!$G$4=1,(BK7+7),IF('BASE DE DATOS'!$G$4=2,(BJ7+7)))</f>
        <v>46251</v>
      </c>
      <c r="BM7" s="12">
        <f>IF('BASE DE DATOS'!$G$4=1,(BL7+7),IF('BASE DE DATOS'!$G$4=2,(BK7+7)))</f>
        <v>46253</v>
      </c>
      <c r="BN7" s="12">
        <f>IF('BASE DE DATOS'!$G$4=1,(BM7+7),IF('BASE DE DATOS'!$G$4=2,(BL7+7)))</f>
        <v>46258</v>
      </c>
      <c r="BO7" s="12">
        <f>IF('BASE DE DATOS'!$G$4=1,(BN7+7),IF('BASE DE DATOS'!$G$4=2,(BM7+7)))</f>
        <v>46260</v>
      </c>
      <c r="BP7" s="12">
        <f>IF('BASE DE DATOS'!$G$4=1,(BO7+7),IF('BASE DE DATOS'!$G$4=2,(BN7+7)))</f>
        <v>46265</v>
      </c>
      <c r="BQ7" s="12">
        <f>IF('BASE DE DATOS'!$G$4=1,(BP7+7),IF('BASE DE DATOS'!$G$4=2,(BO7+7)))</f>
        <v>46267</v>
      </c>
      <c r="BR7" s="12">
        <f>IF('BASE DE DATOS'!$G$4=1,(BQ7+7),IF('BASE DE DATOS'!$G$4=2,(BP7+7)))</f>
        <v>46272</v>
      </c>
      <c r="BS7" s="12">
        <f>IF('BASE DE DATOS'!$G$4=1,(BR7+7),IF('BASE DE DATOS'!$G$4=2,(BQ7+7)))</f>
        <v>46274</v>
      </c>
      <c r="BT7" s="12">
        <f>IF('BASE DE DATOS'!$G$4=1,(BS7+7),IF('BASE DE DATOS'!$G$4=2,(BR7+7)))</f>
        <v>46279</v>
      </c>
      <c r="BU7" s="12">
        <f>IF('BASE DE DATOS'!$G$4=1,(BT7+7),IF('BASE DE DATOS'!$G$4=2,(BS7+7)))</f>
        <v>46281</v>
      </c>
      <c r="BV7" s="12">
        <f>IF('BASE DE DATOS'!$G$4=1,(BU7+7),IF('BASE DE DATOS'!$G$4=2,(BT7+7)))</f>
        <v>46286</v>
      </c>
      <c r="BW7" s="12">
        <f>IF('BASE DE DATOS'!$G$4=1,(BV7+7),IF('BASE DE DATOS'!$G$4=2,(BU7+7)))</f>
        <v>46288</v>
      </c>
      <c r="BX7" s="12">
        <f>IF('BASE DE DATOS'!$G$4=1,(BW7+7),IF('BASE DE DATOS'!$G$4=2,(BV7+7)))</f>
        <v>46293</v>
      </c>
      <c r="BY7" s="12">
        <f>IF('BASE DE DATOS'!$G$4=1,(BX7+7),IF('BASE DE DATOS'!$G$4=2,(BW7+7)))</f>
        <v>46295</v>
      </c>
      <c r="BZ7" s="12">
        <f>IF('BASE DE DATOS'!$G$4=1,(BY7+7),IF('BASE DE DATOS'!$G$4=2,(BX7+7)))</f>
        <v>46300</v>
      </c>
      <c r="CA7" s="12">
        <f>IF('BASE DE DATOS'!$G$4=1,(BZ7+7),IF('BASE DE DATOS'!$G$4=2,(BY7+7)))</f>
        <v>46302</v>
      </c>
      <c r="CB7" s="12">
        <f>IF('BASE DE DATOS'!$G$4=1,(CA7+7),IF('BASE DE DATOS'!$G$4=2,(BZ7+7)))</f>
        <v>46307</v>
      </c>
      <c r="CC7" s="12">
        <f>IF('BASE DE DATOS'!$G$4=1,(CB7+7),IF('BASE DE DATOS'!$G$4=2,(CA7+7)))</f>
        <v>46309</v>
      </c>
      <c r="CD7" s="12">
        <f>IF('BASE DE DATOS'!$G$4=1,(CC7+7),IF('BASE DE DATOS'!$G$4=2,(CB7+7)))</f>
        <v>46314</v>
      </c>
      <c r="CE7" s="12">
        <f>IF('BASE DE DATOS'!$G$4=1,(CD7+7),IF('BASE DE DATOS'!$G$4=2,(CC7+7)))</f>
        <v>46316</v>
      </c>
      <c r="CF7" s="12">
        <f>IF('BASE DE DATOS'!$G$4=1,(CE7+7),IF('BASE DE DATOS'!$G$4=2,(CD7+7)))</f>
        <v>46321</v>
      </c>
      <c r="CG7" s="12">
        <f>IF('BASE DE DATOS'!$G$4=1,(CF7+7),IF('BASE DE DATOS'!$G$4=2,(CE7+7)))</f>
        <v>46323</v>
      </c>
      <c r="CH7" s="12">
        <f>IF('BASE DE DATOS'!$G$4=1,(CG7+7),IF('BASE DE DATOS'!$G$4=2,(CF7+7)))</f>
        <v>46328</v>
      </c>
      <c r="CI7" s="12">
        <f>IF('BASE DE DATOS'!$G$4=1,(CH7+7),IF('BASE DE DATOS'!$G$4=2,(CG7+7)))</f>
        <v>46330</v>
      </c>
      <c r="CJ7" s="12">
        <f>IF('BASE DE DATOS'!$G$4=1,(CI7+7),IF('BASE DE DATOS'!$G$4=2,(CH7+7)))</f>
        <v>46335</v>
      </c>
      <c r="CK7" s="12">
        <f>IF('BASE DE DATOS'!$G$4=1,(CJ7+7),IF('BASE DE DATOS'!$G$4=2,(CI7+7)))</f>
        <v>46337</v>
      </c>
      <c r="CL7" s="12">
        <f>IF('BASE DE DATOS'!$G$4=1,(CK7+7),IF('BASE DE DATOS'!$G$4=2,(CJ7+7)))</f>
        <v>46342</v>
      </c>
      <c r="CM7" s="12">
        <f>IF('BASE DE DATOS'!$G$4=1,(CL7+7),IF('BASE DE DATOS'!$G$4=2,(CK7+7)))</f>
        <v>46344</v>
      </c>
      <c r="CN7" s="12">
        <f>IF('BASE DE DATOS'!$G$4=1,(CM7+7),IF('BASE DE DATOS'!$G$4=2,(CL7+7)))</f>
        <v>46349</v>
      </c>
      <c r="CO7" s="12">
        <f>IF('BASE DE DATOS'!$G$4=1,(CN7+7),IF('BASE DE DATOS'!$G$4=2,(CM7+7)))</f>
        <v>46351</v>
      </c>
      <c r="CP7" s="12">
        <f>IF('BASE DE DATOS'!$G$4=1,(CO7+7),IF('BASE DE DATOS'!$G$4=2,(CN7+7)))</f>
        <v>46356</v>
      </c>
      <c r="CQ7" s="12">
        <f>IF('BASE DE DATOS'!$G$4=1,(CP7+7),IF('BASE DE DATOS'!$G$4=2,(CO7+7)))</f>
        <v>46358</v>
      </c>
      <c r="CR7" s="12">
        <f>IF('BASE DE DATOS'!$G$4=1,(CQ7+7),IF('BASE DE DATOS'!$G$4=2,(CP7+7)))</f>
        <v>46363</v>
      </c>
      <c r="CS7" s="12">
        <f>IF('BASE DE DATOS'!$G$4=1,(CR7+7),IF('BASE DE DATOS'!$G$4=2,(CQ7+7)))</f>
        <v>46365</v>
      </c>
      <c r="CT7" s="12">
        <f>IF('BASE DE DATOS'!$G$4=1,(CS7+7),IF('BASE DE DATOS'!$G$4=2,(CR7+7)))</f>
        <v>46370</v>
      </c>
      <c r="CU7" s="12">
        <f>IF('BASE DE DATOS'!$G$4=1,(CT7+7),IF('BASE DE DATOS'!$G$4=2,(CS7+7)))</f>
        <v>46372</v>
      </c>
      <c r="CV7" s="12">
        <f>IF('BASE DE DATOS'!$G$4=1,(CU7+7),IF('BASE DE DATOS'!$G$4=2,(CT7+7)))</f>
        <v>46377</v>
      </c>
      <c r="CW7" s="12">
        <f>IF('BASE DE DATOS'!$G$4=1,(CV7+7),IF('BASE DE DATOS'!$G$4=2,(CU7+7)))</f>
        <v>46379</v>
      </c>
      <c r="CX7" s="202" t="s">
        <v>19</v>
      </c>
      <c r="CY7" s="203"/>
      <c r="CZ7" s="202" t="s">
        <v>20</v>
      </c>
      <c r="DA7" s="201"/>
      <c r="DB7" s="202" t="s">
        <v>21</v>
      </c>
      <c r="DC7" s="203"/>
      <c r="DD7" s="202" t="s">
        <v>22</v>
      </c>
      <c r="DE7" s="203"/>
      <c r="DF7" s="202" t="s">
        <v>23</v>
      </c>
      <c r="DG7" s="203"/>
      <c r="DH7" s="202" t="s">
        <v>24</v>
      </c>
      <c r="DI7" s="203"/>
      <c r="DJ7" s="202" t="s">
        <v>25</v>
      </c>
      <c r="DK7" s="203"/>
      <c r="DL7" s="202" t="s">
        <v>26</v>
      </c>
      <c r="DM7" s="203"/>
      <c r="DN7" s="202" t="s">
        <v>27</v>
      </c>
      <c r="DO7" s="203"/>
      <c r="DP7" s="202" t="s">
        <v>28</v>
      </c>
      <c r="DQ7" s="203"/>
      <c r="DR7" s="202" t="s">
        <v>29</v>
      </c>
      <c r="DS7" s="203"/>
      <c r="DT7" s="202" t="s">
        <v>30</v>
      </c>
      <c r="DU7" s="203"/>
      <c r="DV7" s="204" t="s">
        <v>31</v>
      </c>
      <c r="DW7" s="201"/>
    </row>
    <row r="8" spans="1:129" ht="30.75" customHeight="1">
      <c r="A8" s="13" t="s">
        <v>32</v>
      </c>
      <c r="B8" s="14" t="s">
        <v>33</v>
      </c>
      <c r="C8" s="15" t="s">
        <v>34</v>
      </c>
      <c r="D8" s="68" t="s">
        <v>35</v>
      </c>
      <c r="E8" s="68" t="s">
        <v>36</v>
      </c>
      <c r="F8" s="68" t="s">
        <v>37</v>
      </c>
      <c r="G8" s="16" t="s">
        <v>38</v>
      </c>
      <c r="H8" s="16" t="s">
        <v>9</v>
      </c>
      <c r="I8" s="16" t="s">
        <v>11</v>
      </c>
      <c r="J8" s="16" t="s">
        <v>39</v>
      </c>
      <c r="K8" s="16" t="s">
        <v>40</v>
      </c>
      <c r="L8" s="16" t="s">
        <v>41</v>
      </c>
      <c r="M8" s="16" t="s">
        <v>42</v>
      </c>
      <c r="N8" s="16" t="s">
        <v>43</v>
      </c>
      <c r="O8" s="17" t="s">
        <v>44</v>
      </c>
      <c r="P8" s="18">
        <f>D7</f>
        <v>46083</v>
      </c>
      <c r="Q8" s="18">
        <f>F7</f>
        <v>46085</v>
      </c>
      <c r="R8" s="18">
        <f t="shared" ref="R8:CW8" si="1">P8+7</f>
        <v>46090</v>
      </c>
      <c r="S8" s="18">
        <f t="shared" si="1"/>
        <v>46092</v>
      </c>
      <c r="T8" s="18">
        <f t="shared" si="1"/>
        <v>46097</v>
      </c>
      <c r="U8" s="18">
        <f t="shared" si="1"/>
        <v>46099</v>
      </c>
      <c r="V8" s="18">
        <f t="shared" si="1"/>
        <v>46104</v>
      </c>
      <c r="W8" s="18">
        <f t="shared" si="1"/>
        <v>46106</v>
      </c>
      <c r="X8" s="18">
        <f t="shared" si="1"/>
        <v>46111</v>
      </c>
      <c r="Y8" s="18">
        <f t="shared" si="1"/>
        <v>46113</v>
      </c>
      <c r="Z8" s="18">
        <f t="shared" si="1"/>
        <v>46118</v>
      </c>
      <c r="AA8" s="18">
        <f t="shared" si="1"/>
        <v>46120</v>
      </c>
      <c r="AB8" s="18">
        <f t="shared" si="1"/>
        <v>46125</v>
      </c>
      <c r="AC8" s="18">
        <f t="shared" si="1"/>
        <v>46127</v>
      </c>
      <c r="AD8" s="18">
        <f t="shared" si="1"/>
        <v>46132</v>
      </c>
      <c r="AE8" s="18">
        <f t="shared" si="1"/>
        <v>46134</v>
      </c>
      <c r="AF8" s="18">
        <f t="shared" si="1"/>
        <v>46139</v>
      </c>
      <c r="AG8" s="18">
        <f t="shared" si="1"/>
        <v>46141</v>
      </c>
      <c r="AH8" s="18">
        <f t="shared" si="1"/>
        <v>46146</v>
      </c>
      <c r="AI8" s="18">
        <f t="shared" si="1"/>
        <v>46148</v>
      </c>
      <c r="AJ8" s="18">
        <f t="shared" si="1"/>
        <v>46153</v>
      </c>
      <c r="AK8" s="18">
        <f t="shared" si="1"/>
        <v>46155</v>
      </c>
      <c r="AL8" s="18">
        <f t="shared" si="1"/>
        <v>46160</v>
      </c>
      <c r="AM8" s="18">
        <f t="shared" si="1"/>
        <v>46162</v>
      </c>
      <c r="AN8" s="18">
        <f t="shared" si="1"/>
        <v>46167</v>
      </c>
      <c r="AO8" s="18">
        <f t="shared" si="1"/>
        <v>46169</v>
      </c>
      <c r="AP8" s="18">
        <f t="shared" si="1"/>
        <v>46174</v>
      </c>
      <c r="AQ8" s="18">
        <f t="shared" si="1"/>
        <v>46176</v>
      </c>
      <c r="AR8" s="18">
        <f t="shared" si="1"/>
        <v>46181</v>
      </c>
      <c r="AS8" s="18">
        <f t="shared" si="1"/>
        <v>46183</v>
      </c>
      <c r="AT8" s="18">
        <f t="shared" si="1"/>
        <v>46188</v>
      </c>
      <c r="AU8" s="18">
        <f t="shared" si="1"/>
        <v>46190</v>
      </c>
      <c r="AV8" s="18">
        <f t="shared" si="1"/>
        <v>46195</v>
      </c>
      <c r="AW8" s="18">
        <f t="shared" si="1"/>
        <v>46197</v>
      </c>
      <c r="AX8" s="18">
        <f t="shared" si="1"/>
        <v>46202</v>
      </c>
      <c r="AY8" s="18">
        <f t="shared" si="1"/>
        <v>46204</v>
      </c>
      <c r="AZ8" s="18">
        <f t="shared" si="1"/>
        <v>46209</v>
      </c>
      <c r="BA8" s="18">
        <f t="shared" si="1"/>
        <v>46211</v>
      </c>
      <c r="BB8" s="18">
        <f t="shared" si="1"/>
        <v>46216</v>
      </c>
      <c r="BC8" s="18">
        <f t="shared" si="1"/>
        <v>46218</v>
      </c>
      <c r="BD8" s="18">
        <f t="shared" si="1"/>
        <v>46223</v>
      </c>
      <c r="BE8" s="18">
        <f t="shared" si="1"/>
        <v>46225</v>
      </c>
      <c r="BF8" s="18">
        <f t="shared" si="1"/>
        <v>46230</v>
      </c>
      <c r="BG8" s="18">
        <f t="shared" si="1"/>
        <v>46232</v>
      </c>
      <c r="BH8" s="18">
        <f t="shared" si="1"/>
        <v>46237</v>
      </c>
      <c r="BI8" s="18">
        <f t="shared" si="1"/>
        <v>46239</v>
      </c>
      <c r="BJ8" s="18">
        <f t="shared" si="1"/>
        <v>46244</v>
      </c>
      <c r="BK8" s="18">
        <f t="shared" si="1"/>
        <v>46246</v>
      </c>
      <c r="BL8" s="18">
        <f t="shared" si="1"/>
        <v>46251</v>
      </c>
      <c r="BM8" s="18">
        <f t="shared" si="1"/>
        <v>46253</v>
      </c>
      <c r="BN8" s="18">
        <f t="shared" si="1"/>
        <v>46258</v>
      </c>
      <c r="BO8" s="18">
        <f t="shared" si="1"/>
        <v>46260</v>
      </c>
      <c r="BP8" s="18">
        <f t="shared" si="1"/>
        <v>46265</v>
      </c>
      <c r="BQ8" s="18">
        <f t="shared" si="1"/>
        <v>46267</v>
      </c>
      <c r="BR8" s="18">
        <f t="shared" si="1"/>
        <v>46272</v>
      </c>
      <c r="BS8" s="18">
        <f t="shared" si="1"/>
        <v>46274</v>
      </c>
      <c r="BT8" s="18">
        <f t="shared" si="1"/>
        <v>46279</v>
      </c>
      <c r="BU8" s="18">
        <f t="shared" si="1"/>
        <v>46281</v>
      </c>
      <c r="BV8" s="18">
        <f t="shared" si="1"/>
        <v>46286</v>
      </c>
      <c r="BW8" s="18">
        <f t="shared" si="1"/>
        <v>46288</v>
      </c>
      <c r="BX8" s="18">
        <f t="shared" si="1"/>
        <v>46293</v>
      </c>
      <c r="BY8" s="18">
        <f t="shared" si="1"/>
        <v>46295</v>
      </c>
      <c r="BZ8" s="18">
        <f t="shared" si="1"/>
        <v>46300</v>
      </c>
      <c r="CA8" s="18">
        <f t="shared" si="1"/>
        <v>46302</v>
      </c>
      <c r="CB8" s="18">
        <f t="shared" si="1"/>
        <v>46307</v>
      </c>
      <c r="CC8" s="18">
        <f t="shared" si="1"/>
        <v>46309</v>
      </c>
      <c r="CD8" s="18">
        <f t="shared" si="1"/>
        <v>46314</v>
      </c>
      <c r="CE8" s="18">
        <f t="shared" si="1"/>
        <v>46316</v>
      </c>
      <c r="CF8" s="18">
        <f t="shared" si="1"/>
        <v>46321</v>
      </c>
      <c r="CG8" s="18">
        <f t="shared" si="1"/>
        <v>46323</v>
      </c>
      <c r="CH8" s="18">
        <f t="shared" si="1"/>
        <v>46328</v>
      </c>
      <c r="CI8" s="18">
        <f t="shared" si="1"/>
        <v>46330</v>
      </c>
      <c r="CJ8" s="18">
        <f t="shared" si="1"/>
        <v>46335</v>
      </c>
      <c r="CK8" s="18">
        <f t="shared" si="1"/>
        <v>46337</v>
      </c>
      <c r="CL8" s="18">
        <f t="shared" si="1"/>
        <v>46342</v>
      </c>
      <c r="CM8" s="18">
        <f t="shared" si="1"/>
        <v>46344</v>
      </c>
      <c r="CN8" s="18">
        <f t="shared" si="1"/>
        <v>46349</v>
      </c>
      <c r="CO8" s="18">
        <f t="shared" si="1"/>
        <v>46351</v>
      </c>
      <c r="CP8" s="18">
        <f t="shared" si="1"/>
        <v>46356</v>
      </c>
      <c r="CQ8" s="18">
        <f t="shared" si="1"/>
        <v>46358</v>
      </c>
      <c r="CR8" s="18">
        <f t="shared" si="1"/>
        <v>46363</v>
      </c>
      <c r="CS8" s="18">
        <f t="shared" si="1"/>
        <v>46365</v>
      </c>
      <c r="CT8" s="18">
        <f t="shared" si="1"/>
        <v>46370</v>
      </c>
      <c r="CU8" s="18">
        <f t="shared" si="1"/>
        <v>46372</v>
      </c>
      <c r="CV8" s="18">
        <f t="shared" si="1"/>
        <v>46377</v>
      </c>
      <c r="CW8" s="18">
        <f t="shared" si="1"/>
        <v>46379</v>
      </c>
      <c r="CX8" s="19" t="s">
        <v>9</v>
      </c>
      <c r="CY8" s="20" t="s">
        <v>11</v>
      </c>
      <c r="CZ8" s="19" t="s">
        <v>9</v>
      </c>
      <c r="DA8" s="21" t="s">
        <v>11</v>
      </c>
      <c r="DB8" s="19" t="s">
        <v>9</v>
      </c>
      <c r="DC8" s="20" t="s">
        <v>11</v>
      </c>
      <c r="DD8" s="19" t="s">
        <v>9</v>
      </c>
      <c r="DE8" s="20" t="s">
        <v>11</v>
      </c>
      <c r="DF8" s="19" t="s">
        <v>9</v>
      </c>
      <c r="DG8" s="20" t="s">
        <v>11</v>
      </c>
      <c r="DH8" s="19" t="s">
        <v>9</v>
      </c>
      <c r="DI8" s="20" t="s">
        <v>11</v>
      </c>
      <c r="DJ8" s="19" t="s">
        <v>9</v>
      </c>
      <c r="DK8" s="20" t="s">
        <v>11</v>
      </c>
      <c r="DL8" s="19" t="s">
        <v>9</v>
      </c>
      <c r="DM8" s="20" t="s">
        <v>11</v>
      </c>
      <c r="DN8" s="19" t="s">
        <v>9</v>
      </c>
      <c r="DO8" s="20" t="s">
        <v>11</v>
      </c>
      <c r="DP8" s="19" t="s">
        <v>9</v>
      </c>
      <c r="DQ8" s="20" t="s">
        <v>11</v>
      </c>
      <c r="DR8" s="19" t="s">
        <v>9</v>
      </c>
      <c r="DS8" s="20" t="s">
        <v>11</v>
      </c>
      <c r="DT8" s="19" t="s">
        <v>9</v>
      </c>
      <c r="DU8" s="20" t="s">
        <v>11</v>
      </c>
      <c r="DV8" s="22" t="s">
        <v>9</v>
      </c>
      <c r="DW8" s="23" t="s">
        <v>11</v>
      </c>
      <c r="DY8" s="24" t="s">
        <v>45</v>
      </c>
    </row>
    <row r="9" spans="1:129" ht="15.75" customHeight="1">
      <c r="A9" s="25">
        <v>1</v>
      </c>
      <c r="B9" s="26" t="str">
        <f>'BASE DE DATOS'!C10</f>
        <v>TI</v>
      </c>
      <c r="C9" s="27">
        <f>'BASE DE DATOS'!D10</f>
        <v>1011210598</v>
      </c>
      <c r="D9" s="28" t="str">
        <f>'BASE DE DATOS'!B10</f>
        <v>Caren Sofía Acevedo Cortés</v>
      </c>
      <c r="E9" s="29" t="s">
        <v>46</v>
      </c>
      <c r="F9" s="30" t="str">
        <f t="shared" ref="F9:F44" si="2">IF(I9=0,"",IF(I9&gt;=5,"FALTAS INTERMITENTES",IF(I9&gt;=3,"REVISAR FALTAS",IF(AND(I9&lt;3,I9&gt;0),"CON FALTAS"))))</f>
        <v/>
      </c>
      <c r="G9" s="31">
        <f t="shared" ref="G9:G44" si="3">COUNTIF(P9:CR9,"A")</f>
        <v>20</v>
      </c>
      <c r="H9" s="32">
        <f t="shared" ref="H9:H44" si="4">COUNTIF(P9:CR9,"CE")</f>
        <v>0</v>
      </c>
      <c r="I9" s="32">
        <f t="shared" ref="I9:I44" si="5">COUNTIF(P9:CR9,"SE")</f>
        <v>0</v>
      </c>
      <c r="J9" s="32">
        <f t="shared" ref="J9:J44" si="6">COUNTIF(P9:CR9,"INC")</f>
        <v>0</v>
      </c>
      <c r="K9" s="32">
        <f t="shared" ref="K9:K44" si="7">COUNTIF(P9:CR9,"LIC")</f>
        <v>0</v>
      </c>
      <c r="L9" s="32">
        <f t="shared" ref="L9:L44" si="8">COUNTIF(P9:CR9,"CLM")</f>
        <v>0</v>
      </c>
      <c r="M9" s="32">
        <f t="shared" ref="M9:M44" si="9">COUNTIF(P9:IA9,"SFF")</f>
        <v>0</v>
      </c>
      <c r="N9" s="33">
        <f t="shared" ref="N9:N44" si="10">COUNTIF(P9:CR9,"RET")</f>
        <v>0</v>
      </c>
      <c r="O9" s="34">
        <f t="shared" ref="O9:O44" si="11">IFERROR(SUM(H9:K9)/SUM(G9:K9)," ")</f>
        <v>0</v>
      </c>
      <c r="P9" s="35" t="s">
        <v>38</v>
      </c>
      <c r="Q9" s="35" t="s">
        <v>38</v>
      </c>
      <c r="R9" s="35" t="s">
        <v>38</v>
      </c>
      <c r="S9" s="35" t="s">
        <v>38</v>
      </c>
      <c r="T9" s="35" t="s">
        <v>38</v>
      </c>
      <c r="U9" s="35" t="s">
        <v>38</v>
      </c>
      <c r="V9" s="35" t="s">
        <v>38</v>
      </c>
      <c r="W9" s="35" t="s">
        <v>38</v>
      </c>
      <c r="X9" s="35" t="s">
        <v>38</v>
      </c>
      <c r="Y9" s="35" t="s">
        <v>38</v>
      </c>
      <c r="Z9" s="35" t="s">
        <v>38</v>
      </c>
      <c r="AA9" s="35" t="s">
        <v>38</v>
      </c>
      <c r="AB9" s="35" t="s">
        <v>38</v>
      </c>
      <c r="AC9" s="35" t="s">
        <v>38</v>
      </c>
      <c r="AD9" s="35" t="s">
        <v>38</v>
      </c>
      <c r="AE9" s="35" t="s">
        <v>38</v>
      </c>
      <c r="AF9" s="35" t="s">
        <v>38</v>
      </c>
      <c r="AG9" s="35" t="s">
        <v>38</v>
      </c>
      <c r="AH9" s="35" t="s">
        <v>38</v>
      </c>
      <c r="AI9" s="35" t="s">
        <v>38</v>
      </c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6"/>
      <c r="CY9" s="69"/>
      <c r="CZ9" s="36"/>
      <c r="DA9" s="69"/>
      <c r="DB9" s="36"/>
      <c r="DC9" s="69"/>
      <c r="DD9" s="36"/>
      <c r="DE9" s="69"/>
      <c r="DF9" s="36"/>
      <c r="DG9" s="69"/>
      <c r="DH9" s="36"/>
      <c r="DI9" s="69"/>
      <c r="DJ9" s="36"/>
      <c r="DK9" s="69"/>
      <c r="DL9" s="36"/>
      <c r="DM9" s="69"/>
      <c r="DN9" s="36"/>
      <c r="DO9" s="69"/>
      <c r="DP9" s="36"/>
      <c r="DQ9" s="69"/>
      <c r="DR9" s="36"/>
      <c r="DS9" s="69"/>
      <c r="DT9" s="36"/>
      <c r="DU9" s="69"/>
      <c r="DV9" s="37">
        <f t="shared" ref="DV9:DW9" si="12">CX9+CZ9+DB9+DD9+DF9+DH9+DJ9+DL9+DN9+DP9+DR9+DT9</f>
        <v>0</v>
      </c>
      <c r="DW9" s="38">
        <f t="shared" si="12"/>
        <v>0</v>
      </c>
      <c r="DY9" s="39" t="s">
        <v>47</v>
      </c>
    </row>
    <row r="10" spans="1:129" ht="15.75" customHeight="1">
      <c r="A10" s="40">
        <f t="shared" ref="A10:A49" si="13">A9+1</f>
        <v>2</v>
      </c>
      <c r="B10" s="26" t="str">
        <f>'BASE DE DATOS'!C11</f>
        <v>TI</v>
      </c>
      <c r="C10" s="27">
        <f>'BASE DE DATOS'!D11</f>
        <v>1021683093</v>
      </c>
      <c r="D10" s="28" t="str">
        <f>'BASE DE DATOS'!B11</f>
        <v>Helen Natalia Aperador Abaunza</v>
      </c>
      <c r="E10" s="29" t="s">
        <v>46</v>
      </c>
      <c r="F10" s="30" t="str">
        <f t="shared" si="2"/>
        <v/>
      </c>
      <c r="G10" s="41">
        <f t="shared" si="3"/>
        <v>20</v>
      </c>
      <c r="H10" s="42">
        <f t="shared" si="4"/>
        <v>0</v>
      </c>
      <c r="I10" s="42">
        <f t="shared" si="5"/>
        <v>0</v>
      </c>
      <c r="J10" s="42">
        <f t="shared" si="6"/>
        <v>0</v>
      </c>
      <c r="K10" s="42">
        <f t="shared" si="7"/>
        <v>0</v>
      </c>
      <c r="L10" s="42">
        <f t="shared" si="8"/>
        <v>0</v>
      </c>
      <c r="M10" s="32">
        <f t="shared" si="9"/>
        <v>0</v>
      </c>
      <c r="N10" s="33">
        <f t="shared" si="10"/>
        <v>0</v>
      </c>
      <c r="O10" s="43">
        <f t="shared" si="11"/>
        <v>0</v>
      </c>
      <c r="P10" s="35" t="s">
        <v>38</v>
      </c>
      <c r="Q10" s="35" t="s">
        <v>38</v>
      </c>
      <c r="R10" s="35" t="s">
        <v>38</v>
      </c>
      <c r="S10" s="35" t="s">
        <v>38</v>
      </c>
      <c r="T10" s="35" t="s">
        <v>38</v>
      </c>
      <c r="U10" s="35" t="s">
        <v>38</v>
      </c>
      <c r="V10" s="35" t="s">
        <v>38</v>
      </c>
      <c r="W10" s="35" t="s">
        <v>38</v>
      </c>
      <c r="X10" s="35" t="s">
        <v>38</v>
      </c>
      <c r="Y10" s="35" t="s">
        <v>38</v>
      </c>
      <c r="Z10" s="35" t="s">
        <v>38</v>
      </c>
      <c r="AA10" s="35" t="s">
        <v>38</v>
      </c>
      <c r="AB10" s="35" t="s">
        <v>38</v>
      </c>
      <c r="AC10" s="35" t="s">
        <v>38</v>
      </c>
      <c r="AD10" s="35" t="s">
        <v>38</v>
      </c>
      <c r="AE10" s="35" t="s">
        <v>38</v>
      </c>
      <c r="AF10" s="35" t="s">
        <v>38</v>
      </c>
      <c r="AG10" s="35" t="s">
        <v>38</v>
      </c>
      <c r="AH10" s="35" t="s">
        <v>38</v>
      </c>
      <c r="AI10" s="35" t="s">
        <v>38</v>
      </c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6"/>
      <c r="CY10" s="69"/>
      <c r="CZ10" s="36"/>
      <c r="DA10" s="69"/>
      <c r="DB10" s="36"/>
      <c r="DC10" s="69"/>
      <c r="DD10" s="36"/>
      <c r="DE10" s="69"/>
      <c r="DF10" s="36"/>
      <c r="DG10" s="69"/>
      <c r="DH10" s="36"/>
      <c r="DI10" s="69"/>
      <c r="DJ10" s="36"/>
      <c r="DK10" s="69"/>
      <c r="DL10" s="36"/>
      <c r="DM10" s="69"/>
      <c r="DN10" s="36"/>
      <c r="DO10" s="69"/>
      <c r="DP10" s="36"/>
      <c r="DQ10" s="69"/>
      <c r="DR10" s="36"/>
      <c r="DS10" s="69"/>
      <c r="DT10" s="36"/>
      <c r="DU10" s="69"/>
      <c r="DV10" s="37">
        <f t="shared" ref="DV10:DW10" si="14">CX10+CZ10+DB10+DD10+DF10+DH10+DJ10+DL10+DN10+DP10+DR10+DT10</f>
        <v>0</v>
      </c>
      <c r="DW10" s="38">
        <f t="shared" si="14"/>
        <v>0</v>
      </c>
      <c r="DY10" s="39" t="s">
        <v>48</v>
      </c>
    </row>
    <row r="11" spans="1:129" ht="15.75" customHeight="1">
      <c r="A11" s="40">
        <f t="shared" si="13"/>
        <v>3</v>
      </c>
      <c r="B11" s="26" t="str">
        <f>'BASE DE DATOS'!C12</f>
        <v>TI</v>
      </c>
      <c r="C11" s="27">
        <f>'BASE DE DATOS'!D12</f>
        <v>1028867289</v>
      </c>
      <c r="D11" s="28" t="str">
        <f>'BASE DE DATOS'!B12</f>
        <v>Paula Valentina Ardila Franco</v>
      </c>
      <c r="E11" s="29" t="s">
        <v>46</v>
      </c>
      <c r="F11" s="30" t="str">
        <f t="shared" si="2"/>
        <v/>
      </c>
      <c r="G11" s="41">
        <f t="shared" si="3"/>
        <v>20</v>
      </c>
      <c r="H11" s="42">
        <f t="shared" si="4"/>
        <v>0</v>
      </c>
      <c r="I11" s="42">
        <f t="shared" si="5"/>
        <v>0</v>
      </c>
      <c r="J11" s="42">
        <f t="shared" si="6"/>
        <v>0</v>
      </c>
      <c r="K11" s="42">
        <f t="shared" si="7"/>
        <v>0</v>
      </c>
      <c r="L11" s="42">
        <f t="shared" si="8"/>
        <v>0</v>
      </c>
      <c r="M11" s="32">
        <f t="shared" si="9"/>
        <v>0</v>
      </c>
      <c r="N11" s="33">
        <f t="shared" si="10"/>
        <v>0</v>
      </c>
      <c r="O11" s="43">
        <f t="shared" si="11"/>
        <v>0</v>
      </c>
      <c r="P11" s="35" t="s">
        <v>38</v>
      </c>
      <c r="Q11" s="35" t="s">
        <v>38</v>
      </c>
      <c r="R11" s="35" t="s">
        <v>38</v>
      </c>
      <c r="S11" s="35" t="s">
        <v>38</v>
      </c>
      <c r="T11" s="35" t="s">
        <v>38</v>
      </c>
      <c r="U11" s="35" t="s">
        <v>38</v>
      </c>
      <c r="V11" s="35" t="s">
        <v>38</v>
      </c>
      <c r="W11" s="35" t="s">
        <v>38</v>
      </c>
      <c r="X11" s="35" t="s">
        <v>38</v>
      </c>
      <c r="Y11" s="35" t="s">
        <v>38</v>
      </c>
      <c r="Z11" s="35" t="s">
        <v>38</v>
      </c>
      <c r="AA11" s="35" t="s">
        <v>38</v>
      </c>
      <c r="AB11" s="35" t="s">
        <v>38</v>
      </c>
      <c r="AC11" s="35" t="s">
        <v>38</v>
      </c>
      <c r="AD11" s="35" t="s">
        <v>38</v>
      </c>
      <c r="AE11" s="35" t="s">
        <v>38</v>
      </c>
      <c r="AF11" s="35" t="s">
        <v>38</v>
      </c>
      <c r="AG11" s="35" t="s">
        <v>38</v>
      </c>
      <c r="AH11" s="35" t="s">
        <v>38</v>
      </c>
      <c r="AI11" s="35" t="s">
        <v>38</v>
      </c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6"/>
      <c r="CY11" s="69"/>
      <c r="CZ11" s="36"/>
      <c r="DA11" s="69"/>
      <c r="DB11" s="36"/>
      <c r="DC11" s="69"/>
      <c r="DD11" s="36"/>
      <c r="DE11" s="69"/>
      <c r="DF11" s="36"/>
      <c r="DG11" s="69"/>
      <c r="DH11" s="36"/>
      <c r="DI11" s="69"/>
      <c r="DJ11" s="36"/>
      <c r="DK11" s="69"/>
      <c r="DL11" s="36"/>
      <c r="DM11" s="69"/>
      <c r="DN11" s="36"/>
      <c r="DO11" s="69"/>
      <c r="DP11" s="36"/>
      <c r="DQ11" s="69"/>
      <c r="DR11" s="36"/>
      <c r="DS11" s="69"/>
      <c r="DT11" s="36"/>
      <c r="DU11" s="69"/>
      <c r="DV11" s="37">
        <f t="shared" ref="DV11:DW11" si="15">CX11+CZ11+DB11+DD11+DF11+DH11+DJ11+DL11+DN11+DP11+DR11+DT11</f>
        <v>0</v>
      </c>
      <c r="DW11" s="38">
        <f t="shared" si="15"/>
        <v>0</v>
      </c>
      <c r="DY11" s="39" t="s">
        <v>49</v>
      </c>
    </row>
    <row r="12" spans="1:129" ht="15.75" customHeight="1">
      <c r="A12" s="40">
        <f t="shared" si="13"/>
        <v>4</v>
      </c>
      <c r="B12" s="26" t="str">
        <f>'BASE DE DATOS'!C13</f>
        <v>TI</v>
      </c>
      <c r="C12" s="27">
        <f>'BASE DE DATOS'!D13</f>
        <v>1016718433</v>
      </c>
      <c r="D12" s="28" t="str">
        <f>'BASE DE DATOS'!B13</f>
        <v>Janny Sofia Ariza Marín</v>
      </c>
      <c r="E12" s="29" t="s">
        <v>46</v>
      </c>
      <c r="F12" s="30" t="str">
        <f t="shared" si="2"/>
        <v>REVISAR FALTAS</v>
      </c>
      <c r="G12" s="41">
        <f t="shared" si="3"/>
        <v>12</v>
      </c>
      <c r="H12" s="42">
        <f t="shared" si="4"/>
        <v>0</v>
      </c>
      <c r="I12" s="42">
        <f t="shared" si="5"/>
        <v>4</v>
      </c>
      <c r="J12" s="42">
        <f t="shared" si="6"/>
        <v>0</v>
      </c>
      <c r="K12" s="42">
        <f t="shared" si="7"/>
        <v>0</v>
      </c>
      <c r="L12" s="42">
        <f t="shared" si="8"/>
        <v>0</v>
      </c>
      <c r="M12" s="32">
        <f t="shared" si="9"/>
        <v>0</v>
      </c>
      <c r="N12" s="33">
        <f t="shared" si="10"/>
        <v>65</v>
      </c>
      <c r="O12" s="43">
        <f t="shared" si="11"/>
        <v>0.25</v>
      </c>
      <c r="P12" s="35" t="s">
        <v>38</v>
      </c>
      <c r="Q12" s="35" t="s">
        <v>38</v>
      </c>
      <c r="R12" s="35" t="s">
        <v>38</v>
      </c>
      <c r="S12" s="35" t="s">
        <v>38</v>
      </c>
      <c r="T12" s="35" t="s">
        <v>38</v>
      </c>
      <c r="U12" s="35" t="s">
        <v>38</v>
      </c>
      <c r="V12" s="35" t="s">
        <v>38</v>
      </c>
      <c r="W12" s="35" t="s">
        <v>38</v>
      </c>
      <c r="X12" s="35" t="s">
        <v>38</v>
      </c>
      <c r="Y12" s="35" t="s">
        <v>38</v>
      </c>
      <c r="Z12" s="35" t="s">
        <v>11</v>
      </c>
      <c r="AA12" s="35" t="s">
        <v>11</v>
      </c>
      <c r="AB12" s="35" t="s">
        <v>11</v>
      </c>
      <c r="AC12" s="35" t="s">
        <v>11</v>
      </c>
      <c r="AD12" s="35" t="s">
        <v>43</v>
      </c>
      <c r="AE12" s="35" t="s">
        <v>43</v>
      </c>
      <c r="AF12" s="35" t="s">
        <v>38</v>
      </c>
      <c r="AG12" s="35" t="s">
        <v>38</v>
      </c>
      <c r="AH12" s="35" t="s">
        <v>43</v>
      </c>
      <c r="AI12" s="35" t="s">
        <v>43</v>
      </c>
      <c r="AJ12" s="35" t="s">
        <v>43</v>
      </c>
      <c r="AK12" s="35" t="s">
        <v>43</v>
      </c>
      <c r="AL12" s="35" t="s">
        <v>43</v>
      </c>
      <c r="AM12" s="35" t="s">
        <v>43</v>
      </c>
      <c r="AN12" s="35" t="s">
        <v>43</v>
      </c>
      <c r="AO12" s="35" t="s">
        <v>43</v>
      </c>
      <c r="AP12" s="35" t="s">
        <v>43</v>
      </c>
      <c r="AQ12" s="35" t="s">
        <v>43</v>
      </c>
      <c r="AR12" s="35" t="s">
        <v>43</v>
      </c>
      <c r="AS12" s="35" t="s">
        <v>43</v>
      </c>
      <c r="AT12" s="35" t="s">
        <v>43</v>
      </c>
      <c r="AU12" s="35" t="s">
        <v>43</v>
      </c>
      <c r="AV12" s="35" t="s">
        <v>43</v>
      </c>
      <c r="AW12" s="35" t="s">
        <v>43</v>
      </c>
      <c r="AX12" s="35" t="s">
        <v>43</v>
      </c>
      <c r="AY12" s="35" t="s">
        <v>43</v>
      </c>
      <c r="AZ12" s="35" t="s">
        <v>43</v>
      </c>
      <c r="BA12" s="35" t="s">
        <v>43</v>
      </c>
      <c r="BB12" s="35" t="s">
        <v>43</v>
      </c>
      <c r="BC12" s="35" t="s">
        <v>43</v>
      </c>
      <c r="BD12" s="35" t="s">
        <v>43</v>
      </c>
      <c r="BE12" s="35" t="s">
        <v>43</v>
      </c>
      <c r="BF12" s="35" t="s">
        <v>43</v>
      </c>
      <c r="BG12" s="35" t="s">
        <v>43</v>
      </c>
      <c r="BH12" s="35" t="s">
        <v>43</v>
      </c>
      <c r="BI12" s="35" t="s">
        <v>43</v>
      </c>
      <c r="BJ12" s="35" t="s">
        <v>43</v>
      </c>
      <c r="BK12" s="35" t="s">
        <v>43</v>
      </c>
      <c r="BL12" s="35" t="s">
        <v>43</v>
      </c>
      <c r="BM12" s="35" t="s">
        <v>43</v>
      </c>
      <c r="BN12" s="35" t="s">
        <v>43</v>
      </c>
      <c r="BO12" s="35" t="s">
        <v>43</v>
      </c>
      <c r="BP12" s="35" t="s">
        <v>43</v>
      </c>
      <c r="BQ12" s="35" t="s">
        <v>43</v>
      </c>
      <c r="BR12" s="35" t="s">
        <v>43</v>
      </c>
      <c r="BS12" s="35" t="s">
        <v>43</v>
      </c>
      <c r="BT12" s="35" t="s">
        <v>43</v>
      </c>
      <c r="BU12" s="35" t="s">
        <v>43</v>
      </c>
      <c r="BV12" s="35" t="s">
        <v>43</v>
      </c>
      <c r="BW12" s="35" t="s">
        <v>43</v>
      </c>
      <c r="BX12" s="35" t="s">
        <v>43</v>
      </c>
      <c r="BY12" s="35" t="s">
        <v>43</v>
      </c>
      <c r="BZ12" s="35" t="s">
        <v>43</v>
      </c>
      <c r="CA12" s="35" t="s">
        <v>43</v>
      </c>
      <c r="CB12" s="35" t="s">
        <v>43</v>
      </c>
      <c r="CC12" s="35" t="s">
        <v>43</v>
      </c>
      <c r="CD12" s="35" t="s">
        <v>43</v>
      </c>
      <c r="CE12" s="35" t="s">
        <v>43</v>
      </c>
      <c r="CF12" s="35" t="s">
        <v>43</v>
      </c>
      <c r="CG12" s="35" t="s">
        <v>43</v>
      </c>
      <c r="CH12" s="35" t="s">
        <v>43</v>
      </c>
      <c r="CI12" s="35" t="s">
        <v>43</v>
      </c>
      <c r="CJ12" s="35" t="s">
        <v>43</v>
      </c>
      <c r="CK12" s="35" t="s">
        <v>43</v>
      </c>
      <c r="CL12" s="35" t="s">
        <v>43</v>
      </c>
      <c r="CM12" s="35" t="s">
        <v>43</v>
      </c>
      <c r="CN12" s="35" t="s">
        <v>43</v>
      </c>
      <c r="CO12" s="35" t="s">
        <v>43</v>
      </c>
      <c r="CP12" s="35" t="s">
        <v>43</v>
      </c>
      <c r="CQ12" s="35" t="s">
        <v>43</v>
      </c>
      <c r="CR12" s="35" t="s">
        <v>43</v>
      </c>
      <c r="CS12" s="35" t="s">
        <v>43</v>
      </c>
      <c r="CT12" s="35" t="s">
        <v>43</v>
      </c>
      <c r="CU12" s="35" t="s">
        <v>43</v>
      </c>
      <c r="CV12" s="35" t="s">
        <v>43</v>
      </c>
      <c r="CW12" s="35" t="s">
        <v>43</v>
      </c>
      <c r="CX12" s="36"/>
      <c r="CY12" s="69"/>
      <c r="CZ12" s="36"/>
      <c r="DA12" s="69"/>
      <c r="DB12" s="36"/>
      <c r="DC12" s="69"/>
      <c r="DD12" s="36"/>
      <c r="DE12" s="69"/>
      <c r="DF12" s="36"/>
      <c r="DG12" s="69"/>
      <c r="DH12" s="36"/>
      <c r="DI12" s="69"/>
      <c r="DJ12" s="36"/>
      <c r="DK12" s="69"/>
      <c r="DL12" s="36"/>
      <c r="DM12" s="69"/>
      <c r="DN12" s="36"/>
      <c r="DO12" s="69"/>
      <c r="DP12" s="36"/>
      <c r="DQ12" s="69"/>
      <c r="DR12" s="36"/>
      <c r="DS12" s="69"/>
      <c r="DT12" s="36"/>
      <c r="DU12" s="69"/>
      <c r="DV12" s="37">
        <f t="shared" ref="DV12:DW12" si="16">CX12+CZ12+DB12+DD12+DF12+DH12+DJ12+DL12+DN12+DP12+DR12+DT12</f>
        <v>0</v>
      </c>
      <c r="DW12" s="38">
        <f t="shared" si="16"/>
        <v>0</v>
      </c>
      <c r="DY12" s="39" t="s">
        <v>50</v>
      </c>
    </row>
    <row r="13" spans="1:129" ht="15.75" customHeight="1">
      <c r="A13" s="40">
        <f t="shared" si="13"/>
        <v>5</v>
      </c>
      <c r="B13" s="26" t="str">
        <f>'BASE DE DATOS'!C14</f>
        <v>TI</v>
      </c>
      <c r="C13" s="27">
        <f>'BASE DE DATOS'!D14</f>
        <v>1013128025</v>
      </c>
      <c r="D13" s="28" t="str">
        <f>'BASE DE DATOS'!B14</f>
        <v>Damián Felipe Benavides Pérez</v>
      </c>
      <c r="E13" s="29" t="s">
        <v>46</v>
      </c>
      <c r="F13" s="30" t="str">
        <f t="shared" si="2"/>
        <v>CON FALTAS</v>
      </c>
      <c r="G13" s="41">
        <f t="shared" si="3"/>
        <v>18</v>
      </c>
      <c r="H13" s="42">
        <f t="shared" si="4"/>
        <v>0</v>
      </c>
      <c r="I13" s="42">
        <f t="shared" si="5"/>
        <v>2</v>
      </c>
      <c r="J13" s="42">
        <f t="shared" si="6"/>
        <v>0</v>
      </c>
      <c r="K13" s="42">
        <f t="shared" si="7"/>
        <v>0</v>
      </c>
      <c r="L13" s="42">
        <f t="shared" si="8"/>
        <v>0</v>
      </c>
      <c r="M13" s="32">
        <f t="shared" si="9"/>
        <v>0</v>
      </c>
      <c r="N13" s="33">
        <f t="shared" si="10"/>
        <v>0</v>
      </c>
      <c r="O13" s="43">
        <f t="shared" si="11"/>
        <v>0.1</v>
      </c>
      <c r="P13" s="35" t="s">
        <v>38</v>
      </c>
      <c r="Q13" s="35" t="s">
        <v>38</v>
      </c>
      <c r="R13" s="35" t="s">
        <v>38</v>
      </c>
      <c r="S13" s="35" t="s">
        <v>38</v>
      </c>
      <c r="T13" s="35" t="s">
        <v>38</v>
      </c>
      <c r="U13" s="35" t="s">
        <v>38</v>
      </c>
      <c r="V13" s="35" t="s">
        <v>38</v>
      </c>
      <c r="W13" s="35" t="s">
        <v>38</v>
      </c>
      <c r="X13" s="35" t="s">
        <v>38</v>
      </c>
      <c r="Y13" s="35" t="s">
        <v>38</v>
      </c>
      <c r="Z13" s="35" t="s">
        <v>38</v>
      </c>
      <c r="AA13" s="35" t="s">
        <v>38</v>
      </c>
      <c r="AB13" s="35" t="s">
        <v>38</v>
      </c>
      <c r="AC13" s="35" t="s">
        <v>38</v>
      </c>
      <c r="AD13" s="35" t="s">
        <v>11</v>
      </c>
      <c r="AE13" s="35" t="s">
        <v>38</v>
      </c>
      <c r="AF13" s="35" t="s">
        <v>38</v>
      </c>
      <c r="AG13" s="35" t="s">
        <v>38</v>
      </c>
      <c r="AH13" s="35" t="s">
        <v>11</v>
      </c>
      <c r="AI13" s="35" t="s">
        <v>38</v>
      </c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6"/>
      <c r="CY13" s="69"/>
      <c r="CZ13" s="36"/>
      <c r="DA13" s="69"/>
      <c r="DB13" s="36"/>
      <c r="DC13" s="69"/>
      <c r="DD13" s="36"/>
      <c r="DE13" s="69"/>
      <c r="DF13" s="36"/>
      <c r="DG13" s="69"/>
      <c r="DH13" s="36"/>
      <c r="DI13" s="69"/>
      <c r="DJ13" s="36"/>
      <c r="DK13" s="69"/>
      <c r="DL13" s="36"/>
      <c r="DM13" s="69"/>
      <c r="DN13" s="36"/>
      <c r="DO13" s="69"/>
      <c r="DP13" s="36"/>
      <c r="DQ13" s="69"/>
      <c r="DR13" s="36"/>
      <c r="DS13" s="69"/>
      <c r="DT13" s="36"/>
      <c r="DU13" s="69"/>
      <c r="DV13" s="37">
        <f t="shared" ref="DV13:DW13" si="17">CX13+CZ13+DB13+DD13+DF13+DH13+DJ13+DL13+DN13+DP13+DR13+DT13</f>
        <v>0</v>
      </c>
      <c r="DW13" s="38">
        <f t="shared" si="17"/>
        <v>0</v>
      </c>
      <c r="DY13" s="39" t="s">
        <v>51</v>
      </c>
    </row>
    <row r="14" spans="1:129" ht="15.75" customHeight="1">
      <c r="A14" s="40">
        <f t="shared" si="13"/>
        <v>6</v>
      </c>
      <c r="B14" s="26" t="str">
        <f>'BASE DE DATOS'!C15</f>
        <v>TI</v>
      </c>
      <c r="C14" s="27">
        <f>'BASE DE DATOS'!D15</f>
        <v>1028800301</v>
      </c>
      <c r="D14" s="28" t="str">
        <f>'BASE DE DATOS'!B15</f>
        <v>David Alejandro Betancur Maldonado</v>
      </c>
      <c r="E14" s="29" t="s">
        <v>46</v>
      </c>
      <c r="F14" s="30" t="str">
        <f t="shared" si="2"/>
        <v/>
      </c>
      <c r="G14" s="41">
        <f t="shared" si="3"/>
        <v>20</v>
      </c>
      <c r="H14" s="42">
        <f t="shared" si="4"/>
        <v>0</v>
      </c>
      <c r="I14" s="42">
        <f t="shared" si="5"/>
        <v>0</v>
      </c>
      <c r="J14" s="42">
        <f t="shared" si="6"/>
        <v>0</v>
      </c>
      <c r="K14" s="42">
        <f t="shared" si="7"/>
        <v>0</v>
      </c>
      <c r="L14" s="42">
        <f t="shared" si="8"/>
        <v>0</v>
      </c>
      <c r="M14" s="32">
        <f t="shared" si="9"/>
        <v>0</v>
      </c>
      <c r="N14" s="33">
        <f t="shared" si="10"/>
        <v>0</v>
      </c>
      <c r="O14" s="43">
        <f t="shared" si="11"/>
        <v>0</v>
      </c>
      <c r="P14" s="35" t="s">
        <v>38</v>
      </c>
      <c r="Q14" s="35" t="s">
        <v>38</v>
      </c>
      <c r="R14" s="35" t="s">
        <v>38</v>
      </c>
      <c r="S14" s="35" t="s">
        <v>38</v>
      </c>
      <c r="T14" s="35" t="s">
        <v>38</v>
      </c>
      <c r="U14" s="35" t="s">
        <v>38</v>
      </c>
      <c r="V14" s="35" t="s">
        <v>38</v>
      </c>
      <c r="W14" s="35" t="s">
        <v>38</v>
      </c>
      <c r="X14" s="35" t="s">
        <v>38</v>
      </c>
      <c r="Y14" s="35" t="s">
        <v>38</v>
      </c>
      <c r="Z14" s="35" t="s">
        <v>38</v>
      </c>
      <c r="AA14" s="35" t="s">
        <v>38</v>
      </c>
      <c r="AB14" s="35" t="s">
        <v>38</v>
      </c>
      <c r="AC14" s="35" t="s">
        <v>38</v>
      </c>
      <c r="AD14" s="35" t="s">
        <v>38</v>
      </c>
      <c r="AE14" s="35" t="s">
        <v>38</v>
      </c>
      <c r="AF14" s="35" t="s">
        <v>38</v>
      </c>
      <c r="AG14" s="35" t="s">
        <v>38</v>
      </c>
      <c r="AH14" s="35" t="s">
        <v>38</v>
      </c>
      <c r="AI14" s="35" t="s">
        <v>38</v>
      </c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6"/>
      <c r="CY14" s="69"/>
      <c r="CZ14" s="36"/>
      <c r="DA14" s="69"/>
      <c r="DB14" s="36"/>
      <c r="DC14" s="69"/>
      <c r="DD14" s="36"/>
      <c r="DE14" s="69"/>
      <c r="DF14" s="36"/>
      <c r="DG14" s="69"/>
      <c r="DH14" s="36"/>
      <c r="DI14" s="69"/>
      <c r="DJ14" s="36"/>
      <c r="DK14" s="69"/>
      <c r="DL14" s="36"/>
      <c r="DM14" s="69"/>
      <c r="DN14" s="36"/>
      <c r="DO14" s="69"/>
      <c r="DP14" s="36"/>
      <c r="DQ14" s="69"/>
      <c r="DR14" s="36"/>
      <c r="DS14" s="69"/>
      <c r="DT14" s="36"/>
      <c r="DU14" s="69"/>
      <c r="DV14" s="37">
        <f t="shared" ref="DV14:DW14" si="18">CX14+CZ14+DB14+DD14+DF14+DH14+DJ14+DL14+DN14+DP14+DR14+DT14</f>
        <v>0</v>
      </c>
      <c r="DW14" s="38">
        <f t="shared" si="18"/>
        <v>0</v>
      </c>
      <c r="DY14" s="39" t="s">
        <v>52</v>
      </c>
    </row>
    <row r="15" spans="1:129" ht="15" customHeight="1">
      <c r="A15" s="40">
        <f t="shared" si="13"/>
        <v>7</v>
      </c>
      <c r="B15" s="26" t="str">
        <f>'BASE DE DATOS'!C16</f>
        <v>TI</v>
      </c>
      <c r="C15" s="27">
        <f>'BASE DE DATOS'!D16</f>
        <v>1028620587</v>
      </c>
      <c r="D15" s="28" t="str">
        <f>'BASE DE DATOS'!B16</f>
        <v>María Camila Buitrago Rengifo</v>
      </c>
      <c r="E15" s="29" t="s">
        <v>46</v>
      </c>
      <c r="F15" s="30" t="str">
        <f t="shared" si="2"/>
        <v/>
      </c>
      <c r="G15" s="41">
        <f t="shared" si="3"/>
        <v>20</v>
      </c>
      <c r="H15" s="42">
        <f t="shared" si="4"/>
        <v>0</v>
      </c>
      <c r="I15" s="42">
        <f t="shared" si="5"/>
        <v>0</v>
      </c>
      <c r="J15" s="42">
        <f t="shared" si="6"/>
        <v>0</v>
      </c>
      <c r="K15" s="42">
        <f t="shared" si="7"/>
        <v>0</v>
      </c>
      <c r="L15" s="42">
        <f t="shared" si="8"/>
        <v>0</v>
      </c>
      <c r="M15" s="32">
        <f t="shared" si="9"/>
        <v>0</v>
      </c>
      <c r="N15" s="33">
        <f t="shared" si="10"/>
        <v>0</v>
      </c>
      <c r="O15" s="43">
        <f t="shared" si="11"/>
        <v>0</v>
      </c>
      <c r="P15" s="35" t="s">
        <v>38</v>
      </c>
      <c r="Q15" s="35" t="s">
        <v>38</v>
      </c>
      <c r="R15" s="35" t="s">
        <v>38</v>
      </c>
      <c r="S15" s="35" t="s">
        <v>38</v>
      </c>
      <c r="T15" s="35" t="s">
        <v>38</v>
      </c>
      <c r="U15" s="35" t="s">
        <v>38</v>
      </c>
      <c r="V15" s="35" t="s">
        <v>38</v>
      </c>
      <c r="W15" s="35" t="s">
        <v>38</v>
      </c>
      <c r="X15" s="35" t="s">
        <v>38</v>
      </c>
      <c r="Y15" s="35" t="s">
        <v>38</v>
      </c>
      <c r="Z15" s="35" t="s">
        <v>38</v>
      </c>
      <c r="AA15" s="35" t="s">
        <v>38</v>
      </c>
      <c r="AB15" s="35" t="s">
        <v>38</v>
      </c>
      <c r="AC15" s="35" t="s">
        <v>38</v>
      </c>
      <c r="AD15" s="35" t="s">
        <v>38</v>
      </c>
      <c r="AE15" s="35" t="s">
        <v>38</v>
      </c>
      <c r="AF15" s="35" t="s">
        <v>38</v>
      </c>
      <c r="AG15" s="35" t="s">
        <v>38</v>
      </c>
      <c r="AH15" s="35" t="s">
        <v>38</v>
      </c>
      <c r="AI15" s="35" t="s">
        <v>38</v>
      </c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6"/>
      <c r="CY15" s="69"/>
      <c r="CZ15" s="36"/>
      <c r="DA15" s="69"/>
      <c r="DB15" s="36"/>
      <c r="DC15" s="69"/>
      <c r="DD15" s="36"/>
      <c r="DE15" s="69"/>
      <c r="DF15" s="36"/>
      <c r="DG15" s="69"/>
      <c r="DH15" s="36"/>
      <c r="DI15" s="69"/>
      <c r="DJ15" s="36"/>
      <c r="DK15" s="69"/>
      <c r="DL15" s="36"/>
      <c r="DM15" s="69"/>
      <c r="DN15" s="36"/>
      <c r="DO15" s="69"/>
      <c r="DP15" s="36"/>
      <c r="DQ15" s="69"/>
      <c r="DR15" s="36"/>
      <c r="DS15" s="69"/>
      <c r="DT15" s="36"/>
      <c r="DU15" s="69"/>
      <c r="DV15" s="37">
        <f t="shared" ref="DV15:DW15" si="19">CX15+CZ15+DB15+DD15+DF15+DH15+DJ15+DL15+DN15+DP15+DR15+DT15</f>
        <v>0</v>
      </c>
      <c r="DW15" s="38">
        <f t="shared" si="19"/>
        <v>0</v>
      </c>
      <c r="DY15" s="39" t="s">
        <v>53</v>
      </c>
    </row>
    <row r="16" spans="1:129" ht="15.75" customHeight="1">
      <c r="A16" s="40">
        <f t="shared" si="13"/>
        <v>8</v>
      </c>
      <c r="B16" s="26" t="str">
        <f>'BASE DE DATOS'!C17</f>
        <v>TI</v>
      </c>
      <c r="C16" s="27">
        <f>'BASE DE DATOS'!D17</f>
        <v>1011205992</v>
      </c>
      <c r="D16" s="28" t="str">
        <f>'BASE DE DATOS'!B17</f>
        <v>Danna Sofia Calderón Moreno</v>
      </c>
      <c r="E16" s="29" t="s">
        <v>46</v>
      </c>
      <c r="F16" s="30" t="str">
        <f t="shared" si="2"/>
        <v>CON FALTAS</v>
      </c>
      <c r="G16" s="41">
        <f t="shared" si="3"/>
        <v>18</v>
      </c>
      <c r="H16" s="42">
        <f t="shared" si="4"/>
        <v>0</v>
      </c>
      <c r="I16" s="42">
        <f t="shared" si="5"/>
        <v>2</v>
      </c>
      <c r="J16" s="42">
        <f t="shared" si="6"/>
        <v>0</v>
      </c>
      <c r="K16" s="42">
        <f t="shared" si="7"/>
        <v>0</v>
      </c>
      <c r="L16" s="42">
        <f t="shared" si="8"/>
        <v>0</v>
      </c>
      <c r="M16" s="32">
        <f t="shared" si="9"/>
        <v>0</v>
      </c>
      <c r="N16" s="33">
        <f t="shared" si="10"/>
        <v>0</v>
      </c>
      <c r="O16" s="43">
        <f t="shared" si="11"/>
        <v>0.1</v>
      </c>
      <c r="P16" s="35" t="s">
        <v>38</v>
      </c>
      <c r="Q16" s="35" t="s">
        <v>38</v>
      </c>
      <c r="R16" s="35" t="s">
        <v>38</v>
      </c>
      <c r="S16" s="35" t="s">
        <v>38</v>
      </c>
      <c r="T16" s="35" t="s">
        <v>38</v>
      </c>
      <c r="U16" s="35" t="s">
        <v>38</v>
      </c>
      <c r="V16" s="35" t="s">
        <v>38</v>
      </c>
      <c r="W16" s="35" t="s">
        <v>38</v>
      </c>
      <c r="X16" s="35" t="s">
        <v>38</v>
      </c>
      <c r="Y16" s="35" t="s">
        <v>38</v>
      </c>
      <c r="Z16" s="35" t="s">
        <v>38</v>
      </c>
      <c r="AA16" s="35" t="s">
        <v>38</v>
      </c>
      <c r="AB16" s="35" t="s">
        <v>38</v>
      </c>
      <c r="AC16" s="35" t="s">
        <v>38</v>
      </c>
      <c r="AD16" s="35" t="s">
        <v>38</v>
      </c>
      <c r="AE16" s="35" t="s">
        <v>11</v>
      </c>
      <c r="AF16" s="35" t="s">
        <v>38</v>
      </c>
      <c r="AG16" s="35" t="s">
        <v>38</v>
      </c>
      <c r="AH16" s="35" t="s">
        <v>38</v>
      </c>
      <c r="AI16" s="35" t="s">
        <v>11</v>
      </c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6"/>
      <c r="CY16" s="69"/>
      <c r="CZ16" s="36"/>
      <c r="DA16" s="69"/>
      <c r="DB16" s="36"/>
      <c r="DC16" s="69"/>
      <c r="DD16" s="36"/>
      <c r="DE16" s="69"/>
      <c r="DF16" s="36"/>
      <c r="DG16" s="69"/>
      <c r="DH16" s="36"/>
      <c r="DI16" s="69"/>
      <c r="DJ16" s="36"/>
      <c r="DK16" s="69"/>
      <c r="DL16" s="36"/>
      <c r="DM16" s="69"/>
      <c r="DN16" s="36"/>
      <c r="DO16" s="69"/>
      <c r="DP16" s="36"/>
      <c r="DQ16" s="69"/>
      <c r="DR16" s="36"/>
      <c r="DS16" s="69"/>
      <c r="DT16" s="36"/>
      <c r="DU16" s="69"/>
      <c r="DV16" s="37">
        <f t="shared" ref="DV16:DW16" si="20">CX16+CZ16+DB16+DD16+DF16+DH16+DJ16+DL16+DN16+DP16+DR16+DT16</f>
        <v>0</v>
      </c>
      <c r="DW16" s="38">
        <f t="shared" si="20"/>
        <v>0</v>
      </c>
      <c r="DY16" s="39" t="s">
        <v>54</v>
      </c>
    </row>
    <row r="17" spans="1:129" ht="15.75" customHeight="1">
      <c r="A17" s="40">
        <f t="shared" si="13"/>
        <v>9</v>
      </c>
      <c r="B17" s="26" t="str">
        <f>'BASE DE DATOS'!C18</f>
        <v>TI</v>
      </c>
      <c r="C17" s="27">
        <f>'BASE DE DATOS'!D18</f>
        <v>1140923876</v>
      </c>
      <c r="D17" s="28" t="str">
        <f>'BASE DE DATOS'!B18</f>
        <v>Angie Ximena Camacho Bejarano</v>
      </c>
      <c r="E17" s="29" t="s">
        <v>46</v>
      </c>
      <c r="F17" s="30" t="str">
        <f t="shared" si="2"/>
        <v>CON FALTAS</v>
      </c>
      <c r="G17" s="41">
        <f t="shared" si="3"/>
        <v>19</v>
      </c>
      <c r="H17" s="42">
        <f t="shared" si="4"/>
        <v>0</v>
      </c>
      <c r="I17" s="42">
        <f t="shared" si="5"/>
        <v>1</v>
      </c>
      <c r="J17" s="42">
        <f t="shared" si="6"/>
        <v>0</v>
      </c>
      <c r="K17" s="42">
        <f t="shared" si="7"/>
        <v>0</v>
      </c>
      <c r="L17" s="42">
        <f t="shared" si="8"/>
        <v>0</v>
      </c>
      <c r="M17" s="32">
        <f t="shared" si="9"/>
        <v>0</v>
      </c>
      <c r="N17" s="33">
        <f t="shared" si="10"/>
        <v>0</v>
      </c>
      <c r="O17" s="43">
        <f t="shared" si="11"/>
        <v>0.05</v>
      </c>
      <c r="P17" s="35" t="s">
        <v>38</v>
      </c>
      <c r="Q17" s="35" t="s">
        <v>38</v>
      </c>
      <c r="R17" s="35" t="s">
        <v>38</v>
      </c>
      <c r="S17" s="35" t="s">
        <v>38</v>
      </c>
      <c r="T17" s="35" t="s">
        <v>38</v>
      </c>
      <c r="U17" s="35" t="s">
        <v>38</v>
      </c>
      <c r="V17" s="35" t="s">
        <v>38</v>
      </c>
      <c r="W17" s="35" t="s">
        <v>38</v>
      </c>
      <c r="X17" s="35" t="s">
        <v>38</v>
      </c>
      <c r="Y17" s="35" t="s">
        <v>38</v>
      </c>
      <c r="Z17" s="35" t="s">
        <v>38</v>
      </c>
      <c r="AA17" s="35" t="s">
        <v>38</v>
      </c>
      <c r="AB17" s="35" t="s">
        <v>38</v>
      </c>
      <c r="AC17" s="35" t="s">
        <v>38</v>
      </c>
      <c r="AD17" s="35" t="s">
        <v>38</v>
      </c>
      <c r="AE17" s="35" t="s">
        <v>11</v>
      </c>
      <c r="AF17" s="35" t="s">
        <v>38</v>
      </c>
      <c r="AG17" s="35" t="s">
        <v>38</v>
      </c>
      <c r="AH17" s="35" t="s">
        <v>38</v>
      </c>
      <c r="AI17" s="35" t="s">
        <v>38</v>
      </c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6"/>
      <c r="CY17" s="69"/>
      <c r="CZ17" s="36"/>
      <c r="DA17" s="69"/>
      <c r="DB17" s="36"/>
      <c r="DC17" s="69"/>
      <c r="DD17" s="36"/>
      <c r="DE17" s="69"/>
      <c r="DF17" s="36"/>
      <c r="DG17" s="69"/>
      <c r="DH17" s="36"/>
      <c r="DI17" s="69"/>
      <c r="DJ17" s="36"/>
      <c r="DK17" s="69"/>
      <c r="DL17" s="36"/>
      <c r="DM17" s="69"/>
      <c r="DN17" s="36"/>
      <c r="DO17" s="69"/>
      <c r="DP17" s="36"/>
      <c r="DQ17" s="69"/>
      <c r="DR17" s="36"/>
      <c r="DS17" s="69"/>
      <c r="DT17" s="36"/>
      <c r="DU17" s="69"/>
      <c r="DV17" s="37">
        <f t="shared" ref="DV17:DW17" si="21">CX17+CZ17+DB17+DD17+DF17+DH17+DJ17+DL17+DN17+DP17+DR17+DT17</f>
        <v>0</v>
      </c>
      <c r="DW17" s="38">
        <f t="shared" si="21"/>
        <v>0</v>
      </c>
      <c r="DY17" s="39" t="s">
        <v>55</v>
      </c>
    </row>
    <row r="18" spans="1:129" ht="15.75" customHeight="1">
      <c r="A18" s="40">
        <f t="shared" si="13"/>
        <v>10</v>
      </c>
      <c r="B18" s="26" t="str">
        <f>'BASE DE DATOS'!C19</f>
        <v>TI</v>
      </c>
      <c r="C18" s="27">
        <f>'BASE DE DATOS'!D19</f>
        <v>1047345388</v>
      </c>
      <c r="D18" s="28" t="str">
        <f>'BASE DE DATOS'!B19</f>
        <v>Meriet Maryan Cárdenas Escorcia</v>
      </c>
      <c r="E18" s="29" t="s">
        <v>46</v>
      </c>
      <c r="F18" s="30" t="str">
        <f t="shared" si="2"/>
        <v/>
      </c>
      <c r="G18" s="41">
        <f t="shared" si="3"/>
        <v>20</v>
      </c>
      <c r="H18" s="42">
        <f t="shared" si="4"/>
        <v>0</v>
      </c>
      <c r="I18" s="42">
        <f t="shared" si="5"/>
        <v>0</v>
      </c>
      <c r="J18" s="42">
        <f t="shared" si="6"/>
        <v>0</v>
      </c>
      <c r="K18" s="42">
        <f t="shared" si="7"/>
        <v>0</v>
      </c>
      <c r="L18" s="42">
        <f t="shared" si="8"/>
        <v>0</v>
      </c>
      <c r="M18" s="32">
        <f t="shared" si="9"/>
        <v>0</v>
      </c>
      <c r="N18" s="33">
        <f t="shared" si="10"/>
        <v>0</v>
      </c>
      <c r="O18" s="43">
        <f t="shared" si="11"/>
        <v>0</v>
      </c>
      <c r="P18" s="35" t="s">
        <v>38</v>
      </c>
      <c r="Q18" s="35" t="s">
        <v>38</v>
      </c>
      <c r="R18" s="35" t="s">
        <v>38</v>
      </c>
      <c r="S18" s="35" t="s">
        <v>38</v>
      </c>
      <c r="T18" s="35" t="s">
        <v>38</v>
      </c>
      <c r="U18" s="35" t="s">
        <v>38</v>
      </c>
      <c r="V18" s="35" t="s">
        <v>38</v>
      </c>
      <c r="W18" s="35" t="s">
        <v>38</v>
      </c>
      <c r="X18" s="35" t="s">
        <v>38</v>
      </c>
      <c r="Y18" s="35" t="s">
        <v>38</v>
      </c>
      <c r="Z18" s="35" t="s">
        <v>38</v>
      </c>
      <c r="AA18" s="35" t="s">
        <v>38</v>
      </c>
      <c r="AB18" s="35" t="s">
        <v>38</v>
      </c>
      <c r="AC18" s="35" t="s">
        <v>38</v>
      </c>
      <c r="AD18" s="35" t="s">
        <v>38</v>
      </c>
      <c r="AE18" s="35" t="s">
        <v>38</v>
      </c>
      <c r="AF18" s="35" t="s">
        <v>38</v>
      </c>
      <c r="AG18" s="35" t="s">
        <v>38</v>
      </c>
      <c r="AH18" s="35" t="s">
        <v>38</v>
      </c>
      <c r="AI18" s="35" t="s">
        <v>38</v>
      </c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6"/>
      <c r="CY18" s="69"/>
      <c r="CZ18" s="36"/>
      <c r="DA18" s="69"/>
      <c r="DB18" s="36"/>
      <c r="DC18" s="69"/>
      <c r="DD18" s="36"/>
      <c r="DE18" s="69"/>
      <c r="DF18" s="36"/>
      <c r="DG18" s="69"/>
      <c r="DH18" s="36"/>
      <c r="DI18" s="69"/>
      <c r="DJ18" s="36"/>
      <c r="DK18" s="69"/>
      <c r="DL18" s="36"/>
      <c r="DM18" s="69"/>
      <c r="DN18" s="36"/>
      <c r="DO18" s="69"/>
      <c r="DP18" s="36"/>
      <c r="DQ18" s="69"/>
      <c r="DR18" s="36"/>
      <c r="DS18" s="69"/>
      <c r="DT18" s="36"/>
      <c r="DU18" s="69"/>
      <c r="DV18" s="37">
        <f t="shared" ref="DV18:DW18" si="22">CX18+CZ18+DB18+DD18+DF18+DH18+DJ18+DL18+DN18+DP18+DR18+DT18</f>
        <v>0</v>
      </c>
      <c r="DW18" s="38">
        <f t="shared" si="22"/>
        <v>0</v>
      </c>
      <c r="DY18" s="39" t="s">
        <v>56</v>
      </c>
    </row>
    <row r="19" spans="1:129" ht="15.75" customHeight="1">
      <c r="A19" s="40">
        <f t="shared" si="13"/>
        <v>11</v>
      </c>
      <c r="B19" s="26" t="str">
        <f>'BASE DE DATOS'!C20</f>
        <v>TI</v>
      </c>
      <c r="C19" s="27">
        <f>'BASE DE DATOS'!D20</f>
        <v>1013132921</v>
      </c>
      <c r="D19" s="28" t="str">
        <f>'BASE DE DATOS'!B20</f>
        <v>Sara Nykol Caro Castillo</v>
      </c>
      <c r="E19" s="29" t="s">
        <v>46</v>
      </c>
      <c r="F19" s="30" t="str">
        <f t="shared" si="2"/>
        <v/>
      </c>
      <c r="G19" s="41">
        <f t="shared" si="3"/>
        <v>20</v>
      </c>
      <c r="H19" s="42">
        <f t="shared" si="4"/>
        <v>0</v>
      </c>
      <c r="I19" s="42">
        <f t="shared" si="5"/>
        <v>0</v>
      </c>
      <c r="J19" s="42">
        <f t="shared" si="6"/>
        <v>0</v>
      </c>
      <c r="K19" s="42">
        <f t="shared" si="7"/>
        <v>0</v>
      </c>
      <c r="L19" s="42">
        <f t="shared" si="8"/>
        <v>0</v>
      </c>
      <c r="M19" s="32">
        <f t="shared" si="9"/>
        <v>0</v>
      </c>
      <c r="N19" s="33">
        <f t="shared" si="10"/>
        <v>0</v>
      </c>
      <c r="O19" s="43">
        <f t="shared" si="11"/>
        <v>0</v>
      </c>
      <c r="P19" s="35" t="s">
        <v>38</v>
      </c>
      <c r="Q19" s="35" t="s">
        <v>38</v>
      </c>
      <c r="R19" s="35" t="s">
        <v>38</v>
      </c>
      <c r="S19" s="35" t="s">
        <v>38</v>
      </c>
      <c r="T19" s="35" t="s">
        <v>38</v>
      </c>
      <c r="U19" s="35" t="s">
        <v>38</v>
      </c>
      <c r="V19" s="35" t="s">
        <v>38</v>
      </c>
      <c r="W19" s="35" t="s">
        <v>38</v>
      </c>
      <c r="X19" s="35" t="s">
        <v>38</v>
      </c>
      <c r="Y19" s="35" t="s">
        <v>38</v>
      </c>
      <c r="Z19" s="35" t="s">
        <v>38</v>
      </c>
      <c r="AA19" s="35" t="s">
        <v>38</v>
      </c>
      <c r="AB19" s="35" t="s">
        <v>38</v>
      </c>
      <c r="AC19" s="35" t="s">
        <v>38</v>
      </c>
      <c r="AD19" s="35" t="s">
        <v>38</v>
      </c>
      <c r="AE19" s="35" t="s">
        <v>38</v>
      </c>
      <c r="AF19" s="35" t="s">
        <v>38</v>
      </c>
      <c r="AG19" s="35" t="s">
        <v>38</v>
      </c>
      <c r="AH19" s="35" t="s">
        <v>38</v>
      </c>
      <c r="AI19" s="35" t="s">
        <v>38</v>
      </c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6"/>
      <c r="CY19" s="69"/>
      <c r="CZ19" s="36"/>
      <c r="DA19" s="69"/>
      <c r="DB19" s="36"/>
      <c r="DC19" s="69"/>
      <c r="DD19" s="36"/>
      <c r="DE19" s="69"/>
      <c r="DF19" s="36"/>
      <c r="DG19" s="69"/>
      <c r="DH19" s="36"/>
      <c r="DI19" s="69"/>
      <c r="DJ19" s="36"/>
      <c r="DK19" s="69"/>
      <c r="DL19" s="36"/>
      <c r="DM19" s="69"/>
      <c r="DN19" s="36"/>
      <c r="DO19" s="69"/>
      <c r="DP19" s="36"/>
      <c r="DQ19" s="69"/>
      <c r="DR19" s="36"/>
      <c r="DS19" s="69"/>
      <c r="DT19" s="36"/>
      <c r="DU19" s="69"/>
      <c r="DV19" s="37">
        <f t="shared" ref="DV19:DW19" si="23">CX19+CZ19+DB19+DD19+DF19+DH19+DJ19+DL19+DN19+DP19+DR19+DT19</f>
        <v>0</v>
      </c>
      <c r="DW19" s="38">
        <f t="shared" si="23"/>
        <v>0</v>
      </c>
      <c r="DY19" s="39" t="s">
        <v>57</v>
      </c>
    </row>
    <row r="20" spans="1:129" ht="15.75" customHeight="1">
      <c r="A20" s="40">
        <f t="shared" si="13"/>
        <v>12</v>
      </c>
      <c r="B20" s="26" t="str">
        <f>'BASE DE DATOS'!C21</f>
        <v>TI</v>
      </c>
      <c r="C20" s="27">
        <f>'BASE DE DATOS'!D21</f>
        <v>1025148041</v>
      </c>
      <c r="D20" s="28" t="str">
        <f>'BASE DE DATOS'!B21</f>
        <v>Duver Stiven Castañeda García</v>
      </c>
      <c r="E20" s="29" t="s">
        <v>46</v>
      </c>
      <c r="F20" s="30" t="str">
        <f t="shared" si="2"/>
        <v/>
      </c>
      <c r="G20" s="41">
        <f t="shared" si="3"/>
        <v>20</v>
      </c>
      <c r="H20" s="42">
        <f t="shared" si="4"/>
        <v>0</v>
      </c>
      <c r="I20" s="42">
        <f t="shared" si="5"/>
        <v>0</v>
      </c>
      <c r="J20" s="42">
        <f t="shared" si="6"/>
        <v>0</v>
      </c>
      <c r="K20" s="42">
        <f t="shared" si="7"/>
        <v>0</v>
      </c>
      <c r="L20" s="42">
        <f t="shared" si="8"/>
        <v>0</v>
      </c>
      <c r="M20" s="32">
        <f t="shared" si="9"/>
        <v>0</v>
      </c>
      <c r="N20" s="33">
        <f t="shared" si="10"/>
        <v>0</v>
      </c>
      <c r="O20" s="43">
        <f t="shared" si="11"/>
        <v>0</v>
      </c>
      <c r="P20" s="35" t="s">
        <v>38</v>
      </c>
      <c r="Q20" s="35" t="s">
        <v>38</v>
      </c>
      <c r="R20" s="35" t="s">
        <v>38</v>
      </c>
      <c r="S20" s="35" t="s">
        <v>38</v>
      </c>
      <c r="T20" s="35" t="s">
        <v>38</v>
      </c>
      <c r="U20" s="35" t="s">
        <v>38</v>
      </c>
      <c r="V20" s="35" t="s">
        <v>38</v>
      </c>
      <c r="W20" s="35" t="s">
        <v>38</v>
      </c>
      <c r="X20" s="35" t="s">
        <v>38</v>
      </c>
      <c r="Y20" s="35" t="s">
        <v>38</v>
      </c>
      <c r="Z20" s="35" t="s">
        <v>38</v>
      </c>
      <c r="AA20" s="35" t="s">
        <v>38</v>
      </c>
      <c r="AB20" s="35" t="s">
        <v>38</v>
      </c>
      <c r="AC20" s="35" t="s">
        <v>38</v>
      </c>
      <c r="AD20" s="35" t="s">
        <v>38</v>
      </c>
      <c r="AE20" s="35" t="s">
        <v>38</v>
      </c>
      <c r="AF20" s="35" t="s">
        <v>38</v>
      </c>
      <c r="AG20" s="35" t="s">
        <v>38</v>
      </c>
      <c r="AH20" s="35" t="s">
        <v>38</v>
      </c>
      <c r="AI20" s="35" t="s">
        <v>38</v>
      </c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6"/>
      <c r="CY20" s="69"/>
      <c r="CZ20" s="36"/>
      <c r="DA20" s="69"/>
      <c r="DB20" s="36"/>
      <c r="DC20" s="69"/>
      <c r="DD20" s="36"/>
      <c r="DE20" s="69"/>
      <c r="DF20" s="36"/>
      <c r="DG20" s="69"/>
      <c r="DH20" s="36"/>
      <c r="DI20" s="69"/>
      <c r="DJ20" s="36"/>
      <c r="DK20" s="69"/>
      <c r="DL20" s="36"/>
      <c r="DM20" s="69"/>
      <c r="DN20" s="36"/>
      <c r="DO20" s="69"/>
      <c r="DP20" s="36"/>
      <c r="DQ20" s="69"/>
      <c r="DR20" s="36"/>
      <c r="DS20" s="69"/>
      <c r="DT20" s="36"/>
      <c r="DU20" s="69"/>
      <c r="DV20" s="37">
        <f t="shared" ref="DV20:DW20" si="24">CX20+CZ20+DB20+DD20+DF20+DH20+DJ20+DL20+DN20+DP20+DR20+DT20</f>
        <v>0</v>
      </c>
      <c r="DW20" s="38">
        <f t="shared" si="24"/>
        <v>0</v>
      </c>
      <c r="DY20" s="39" t="s">
        <v>58</v>
      </c>
    </row>
    <row r="21" spans="1:129" ht="15.75" customHeight="1">
      <c r="A21" s="40">
        <f t="shared" si="13"/>
        <v>13</v>
      </c>
      <c r="B21" s="26" t="str">
        <f>'BASE DE DATOS'!C22</f>
        <v>TI</v>
      </c>
      <c r="C21" s="27">
        <f>'BASE DE DATOS'!D22</f>
        <v>1028869164</v>
      </c>
      <c r="D21" s="28" t="str">
        <f>'BASE DE DATOS'!B22</f>
        <v>Nicolas Castillo Merchán</v>
      </c>
      <c r="E21" s="29" t="s">
        <v>46</v>
      </c>
      <c r="F21" s="30" t="str">
        <f t="shared" si="2"/>
        <v/>
      </c>
      <c r="G21" s="41">
        <f t="shared" si="3"/>
        <v>20</v>
      </c>
      <c r="H21" s="42">
        <f t="shared" si="4"/>
        <v>0</v>
      </c>
      <c r="I21" s="42">
        <f t="shared" si="5"/>
        <v>0</v>
      </c>
      <c r="J21" s="42">
        <f t="shared" si="6"/>
        <v>0</v>
      </c>
      <c r="K21" s="42">
        <f t="shared" si="7"/>
        <v>0</v>
      </c>
      <c r="L21" s="42">
        <f t="shared" si="8"/>
        <v>0</v>
      </c>
      <c r="M21" s="32">
        <f t="shared" si="9"/>
        <v>0</v>
      </c>
      <c r="N21" s="33">
        <f t="shared" si="10"/>
        <v>0</v>
      </c>
      <c r="O21" s="43">
        <f t="shared" si="11"/>
        <v>0</v>
      </c>
      <c r="P21" s="35" t="s">
        <v>38</v>
      </c>
      <c r="Q21" s="35" t="s">
        <v>38</v>
      </c>
      <c r="R21" s="35" t="s">
        <v>38</v>
      </c>
      <c r="S21" s="35" t="s">
        <v>38</v>
      </c>
      <c r="T21" s="35" t="s">
        <v>38</v>
      </c>
      <c r="U21" s="35" t="s">
        <v>38</v>
      </c>
      <c r="V21" s="35" t="s">
        <v>38</v>
      </c>
      <c r="W21" s="35" t="s">
        <v>38</v>
      </c>
      <c r="X21" s="35" t="s">
        <v>38</v>
      </c>
      <c r="Y21" s="35" t="s">
        <v>38</v>
      </c>
      <c r="Z21" s="35" t="s">
        <v>38</v>
      </c>
      <c r="AA21" s="35" t="s">
        <v>38</v>
      </c>
      <c r="AB21" s="35" t="s">
        <v>38</v>
      </c>
      <c r="AC21" s="35" t="s">
        <v>38</v>
      </c>
      <c r="AD21" s="35" t="s">
        <v>38</v>
      </c>
      <c r="AE21" s="35" t="s">
        <v>38</v>
      </c>
      <c r="AF21" s="35" t="s">
        <v>38</v>
      </c>
      <c r="AG21" s="35" t="s">
        <v>38</v>
      </c>
      <c r="AH21" s="35" t="s">
        <v>38</v>
      </c>
      <c r="AI21" s="35" t="s">
        <v>38</v>
      </c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6"/>
      <c r="CY21" s="69"/>
      <c r="CZ21" s="36"/>
      <c r="DA21" s="69"/>
      <c r="DB21" s="36"/>
      <c r="DC21" s="69"/>
      <c r="DD21" s="36"/>
      <c r="DE21" s="69"/>
      <c r="DF21" s="36"/>
      <c r="DG21" s="69"/>
      <c r="DH21" s="36"/>
      <c r="DI21" s="69"/>
      <c r="DJ21" s="36"/>
      <c r="DK21" s="69"/>
      <c r="DL21" s="36"/>
      <c r="DM21" s="69"/>
      <c r="DN21" s="36"/>
      <c r="DO21" s="69"/>
      <c r="DP21" s="36"/>
      <c r="DQ21" s="69"/>
      <c r="DR21" s="36"/>
      <c r="DS21" s="69"/>
      <c r="DT21" s="36"/>
      <c r="DU21" s="69"/>
      <c r="DV21" s="37">
        <f t="shared" ref="DV21:DW21" si="25">CX21+CZ21+DB21+DD21+DF21+DH21+DJ21+DL21+DN21+DP21+DR21+DT21</f>
        <v>0</v>
      </c>
      <c r="DW21" s="38">
        <f t="shared" si="25"/>
        <v>0</v>
      </c>
      <c r="DY21" s="39"/>
    </row>
    <row r="22" spans="1:129" ht="15.75" customHeight="1">
      <c r="A22" s="40">
        <f t="shared" si="13"/>
        <v>14</v>
      </c>
      <c r="B22" s="26" t="str">
        <f>'BASE DE DATOS'!C23</f>
        <v>TI</v>
      </c>
      <c r="C22" s="27">
        <f>'BASE DE DATOS'!D23</f>
        <v>1025546752</v>
      </c>
      <c r="D22" s="28" t="str">
        <f>'BASE DE DATOS'!B23</f>
        <v>Valentina Cespedes Pulido</v>
      </c>
      <c r="E22" s="29" t="s">
        <v>46</v>
      </c>
      <c r="F22" s="30" t="str">
        <f t="shared" si="2"/>
        <v/>
      </c>
      <c r="G22" s="41">
        <f t="shared" si="3"/>
        <v>19</v>
      </c>
      <c r="H22" s="42">
        <f t="shared" si="4"/>
        <v>1</v>
      </c>
      <c r="I22" s="42">
        <f t="shared" si="5"/>
        <v>0</v>
      </c>
      <c r="J22" s="42">
        <f t="shared" si="6"/>
        <v>0</v>
      </c>
      <c r="K22" s="42">
        <f t="shared" si="7"/>
        <v>0</v>
      </c>
      <c r="L22" s="42">
        <f t="shared" si="8"/>
        <v>0</v>
      </c>
      <c r="M22" s="32">
        <f t="shared" si="9"/>
        <v>0</v>
      </c>
      <c r="N22" s="33">
        <f t="shared" si="10"/>
        <v>0</v>
      </c>
      <c r="O22" s="43">
        <f t="shared" si="11"/>
        <v>0.05</v>
      </c>
      <c r="P22" s="35" t="s">
        <v>38</v>
      </c>
      <c r="Q22" s="35" t="s">
        <v>38</v>
      </c>
      <c r="R22" s="35" t="s">
        <v>38</v>
      </c>
      <c r="S22" s="35" t="s">
        <v>38</v>
      </c>
      <c r="T22" s="35" t="s">
        <v>38</v>
      </c>
      <c r="U22" s="35" t="s">
        <v>38</v>
      </c>
      <c r="V22" s="35" t="s">
        <v>38</v>
      </c>
      <c r="W22" s="35" t="s">
        <v>38</v>
      </c>
      <c r="X22" s="35" t="s">
        <v>38</v>
      </c>
      <c r="Y22" s="35" t="s">
        <v>38</v>
      </c>
      <c r="Z22" s="35" t="s">
        <v>38</v>
      </c>
      <c r="AA22" s="35" t="s">
        <v>38</v>
      </c>
      <c r="AB22" s="35" t="s">
        <v>9</v>
      </c>
      <c r="AC22" s="35" t="s">
        <v>38</v>
      </c>
      <c r="AD22" s="35" t="s">
        <v>38</v>
      </c>
      <c r="AE22" s="35" t="s">
        <v>38</v>
      </c>
      <c r="AF22" s="35" t="s">
        <v>38</v>
      </c>
      <c r="AG22" s="35" t="s">
        <v>38</v>
      </c>
      <c r="AH22" s="35" t="s">
        <v>38</v>
      </c>
      <c r="AI22" s="35" t="s">
        <v>38</v>
      </c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6"/>
      <c r="CY22" s="69"/>
      <c r="CZ22" s="36"/>
      <c r="DA22" s="69"/>
      <c r="DB22" s="36"/>
      <c r="DC22" s="69"/>
      <c r="DD22" s="36"/>
      <c r="DE22" s="69"/>
      <c r="DF22" s="36"/>
      <c r="DG22" s="69"/>
      <c r="DH22" s="36"/>
      <c r="DI22" s="69"/>
      <c r="DJ22" s="36"/>
      <c r="DK22" s="69"/>
      <c r="DL22" s="36"/>
      <c r="DM22" s="69"/>
      <c r="DN22" s="36"/>
      <c r="DO22" s="69"/>
      <c r="DP22" s="36"/>
      <c r="DQ22" s="69"/>
      <c r="DR22" s="36"/>
      <c r="DS22" s="69"/>
      <c r="DT22" s="36"/>
      <c r="DU22" s="69"/>
      <c r="DV22" s="37">
        <f t="shared" ref="DV22:DW22" si="26">CX22+CZ22+DB22+DD22+DF22+DH22+DJ22+DL22+DN22+DP22+DR22+DT22</f>
        <v>0</v>
      </c>
      <c r="DW22" s="38">
        <f t="shared" si="26"/>
        <v>0</v>
      </c>
      <c r="DY22" s="39"/>
    </row>
    <row r="23" spans="1:129" ht="15.75" customHeight="1">
      <c r="A23" s="40">
        <f t="shared" si="13"/>
        <v>15</v>
      </c>
      <c r="B23" s="26" t="str">
        <f>'BASE DE DATOS'!C24</f>
        <v>TI</v>
      </c>
      <c r="C23" s="27">
        <f>'BASE DE DATOS'!D24</f>
        <v>1033748632</v>
      </c>
      <c r="D23" s="28" t="str">
        <f>'BASE DE DATOS'!B24</f>
        <v>Dilan Santiago Contreras Gutiérrez</v>
      </c>
      <c r="E23" s="29" t="s">
        <v>46</v>
      </c>
      <c r="F23" s="30" t="str">
        <f t="shared" si="2"/>
        <v>CON FALTAS</v>
      </c>
      <c r="G23" s="41">
        <f t="shared" si="3"/>
        <v>19</v>
      </c>
      <c r="H23" s="42">
        <f t="shared" si="4"/>
        <v>0</v>
      </c>
      <c r="I23" s="42">
        <f t="shared" si="5"/>
        <v>1</v>
      </c>
      <c r="J23" s="42">
        <f t="shared" si="6"/>
        <v>0</v>
      </c>
      <c r="K23" s="42">
        <f t="shared" si="7"/>
        <v>0</v>
      </c>
      <c r="L23" s="42">
        <f t="shared" si="8"/>
        <v>0</v>
      </c>
      <c r="M23" s="32">
        <f t="shared" si="9"/>
        <v>0</v>
      </c>
      <c r="N23" s="33">
        <f t="shared" si="10"/>
        <v>0</v>
      </c>
      <c r="O23" s="43">
        <f t="shared" si="11"/>
        <v>0.05</v>
      </c>
      <c r="P23" s="35" t="s">
        <v>38</v>
      </c>
      <c r="Q23" s="35" t="s">
        <v>38</v>
      </c>
      <c r="R23" s="35" t="s">
        <v>38</v>
      </c>
      <c r="S23" s="35" t="s">
        <v>38</v>
      </c>
      <c r="T23" s="35" t="s">
        <v>38</v>
      </c>
      <c r="U23" s="35" t="s">
        <v>38</v>
      </c>
      <c r="V23" s="35" t="s">
        <v>11</v>
      </c>
      <c r="W23" s="35" t="s">
        <v>38</v>
      </c>
      <c r="X23" s="35" t="s">
        <v>38</v>
      </c>
      <c r="Y23" s="35" t="s">
        <v>38</v>
      </c>
      <c r="Z23" s="35" t="s">
        <v>38</v>
      </c>
      <c r="AA23" s="35" t="s">
        <v>38</v>
      </c>
      <c r="AB23" s="35" t="s">
        <v>38</v>
      </c>
      <c r="AC23" s="35" t="s">
        <v>38</v>
      </c>
      <c r="AD23" s="35" t="s">
        <v>38</v>
      </c>
      <c r="AE23" s="35" t="s">
        <v>38</v>
      </c>
      <c r="AF23" s="35" t="s">
        <v>38</v>
      </c>
      <c r="AG23" s="35" t="s">
        <v>38</v>
      </c>
      <c r="AH23" s="35" t="s">
        <v>38</v>
      </c>
      <c r="AI23" s="35" t="s">
        <v>38</v>
      </c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6"/>
      <c r="CY23" s="69"/>
      <c r="CZ23" s="36"/>
      <c r="DA23" s="69"/>
      <c r="DB23" s="36"/>
      <c r="DC23" s="69"/>
      <c r="DD23" s="36"/>
      <c r="DE23" s="69"/>
      <c r="DF23" s="36"/>
      <c r="DG23" s="69"/>
      <c r="DH23" s="36"/>
      <c r="DI23" s="69"/>
      <c r="DJ23" s="36"/>
      <c r="DK23" s="69"/>
      <c r="DL23" s="36"/>
      <c r="DM23" s="69"/>
      <c r="DN23" s="36"/>
      <c r="DO23" s="69"/>
      <c r="DP23" s="36"/>
      <c r="DQ23" s="69"/>
      <c r="DR23" s="36"/>
      <c r="DS23" s="69"/>
      <c r="DT23" s="36"/>
      <c r="DU23" s="69"/>
      <c r="DV23" s="37">
        <f t="shared" ref="DV23:DW23" si="27">CX23+CZ23+DB23+DD23+DF23+DH23+DJ23+DL23+DN23+DP23+DR23+DT23</f>
        <v>0</v>
      </c>
      <c r="DW23" s="38">
        <f t="shared" si="27"/>
        <v>0</v>
      </c>
      <c r="DY23" s="39"/>
    </row>
    <row r="24" spans="1:129" ht="15.75" customHeight="1">
      <c r="A24" s="40">
        <f t="shared" si="13"/>
        <v>16</v>
      </c>
      <c r="B24" s="26" t="str">
        <f>'BASE DE DATOS'!C25</f>
        <v>TI</v>
      </c>
      <c r="C24" s="27">
        <f>'BASE DE DATOS'!D25</f>
        <v>1120738374</v>
      </c>
      <c r="D24" s="28" t="str">
        <f>'BASE DE DATOS'!B25</f>
        <v>Álvaro Andrés Cuello Hernández</v>
      </c>
      <c r="E24" s="29" t="s">
        <v>46</v>
      </c>
      <c r="F24" s="30" t="str">
        <f t="shared" si="2"/>
        <v/>
      </c>
      <c r="G24" s="41">
        <f t="shared" si="3"/>
        <v>20</v>
      </c>
      <c r="H24" s="42">
        <f t="shared" si="4"/>
        <v>0</v>
      </c>
      <c r="I24" s="42">
        <f t="shared" si="5"/>
        <v>0</v>
      </c>
      <c r="J24" s="42">
        <f t="shared" si="6"/>
        <v>0</v>
      </c>
      <c r="K24" s="42">
        <f t="shared" si="7"/>
        <v>0</v>
      </c>
      <c r="L24" s="42">
        <f t="shared" si="8"/>
        <v>0</v>
      </c>
      <c r="M24" s="32">
        <f t="shared" si="9"/>
        <v>0</v>
      </c>
      <c r="N24" s="33">
        <f t="shared" si="10"/>
        <v>0</v>
      </c>
      <c r="O24" s="43">
        <f t="shared" si="11"/>
        <v>0</v>
      </c>
      <c r="P24" s="35" t="s">
        <v>38</v>
      </c>
      <c r="Q24" s="35" t="s">
        <v>38</v>
      </c>
      <c r="R24" s="35" t="s">
        <v>38</v>
      </c>
      <c r="S24" s="35" t="s">
        <v>38</v>
      </c>
      <c r="T24" s="35" t="s">
        <v>38</v>
      </c>
      <c r="U24" s="35" t="s">
        <v>38</v>
      </c>
      <c r="V24" s="35" t="s">
        <v>38</v>
      </c>
      <c r="W24" s="35" t="s">
        <v>38</v>
      </c>
      <c r="X24" s="35" t="s">
        <v>38</v>
      </c>
      <c r="Y24" s="35" t="s">
        <v>38</v>
      </c>
      <c r="Z24" s="35" t="s">
        <v>38</v>
      </c>
      <c r="AA24" s="35" t="s">
        <v>38</v>
      </c>
      <c r="AB24" s="35" t="s">
        <v>38</v>
      </c>
      <c r="AC24" s="35" t="s">
        <v>38</v>
      </c>
      <c r="AD24" s="35" t="s">
        <v>38</v>
      </c>
      <c r="AE24" s="35" t="s">
        <v>38</v>
      </c>
      <c r="AF24" s="35" t="s">
        <v>38</v>
      </c>
      <c r="AG24" s="35" t="s">
        <v>38</v>
      </c>
      <c r="AH24" s="35" t="s">
        <v>38</v>
      </c>
      <c r="AI24" s="35" t="s">
        <v>38</v>
      </c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6"/>
      <c r="CY24" s="69"/>
      <c r="CZ24" s="36"/>
      <c r="DA24" s="69"/>
      <c r="DB24" s="36"/>
      <c r="DC24" s="69"/>
      <c r="DD24" s="36"/>
      <c r="DE24" s="69"/>
      <c r="DF24" s="36"/>
      <c r="DG24" s="69"/>
      <c r="DH24" s="36"/>
      <c r="DI24" s="69"/>
      <c r="DJ24" s="36"/>
      <c r="DK24" s="69"/>
      <c r="DL24" s="36"/>
      <c r="DM24" s="69"/>
      <c r="DN24" s="36"/>
      <c r="DO24" s="69"/>
      <c r="DP24" s="36"/>
      <c r="DQ24" s="69"/>
      <c r="DR24" s="36"/>
      <c r="DS24" s="69"/>
      <c r="DT24" s="36"/>
      <c r="DU24" s="69"/>
      <c r="DV24" s="37">
        <f t="shared" ref="DV24:DW24" si="28">CX24+CZ24+DB24+DD24+DF24+DH24+DJ24+DL24+DN24+DP24+DR24+DT24</f>
        <v>0</v>
      </c>
      <c r="DW24" s="38">
        <f t="shared" si="28"/>
        <v>0</v>
      </c>
      <c r="DY24" s="39"/>
    </row>
    <row r="25" spans="1:129" ht="15.75" customHeight="1">
      <c r="A25" s="40">
        <f t="shared" si="13"/>
        <v>17</v>
      </c>
      <c r="B25" s="26" t="str">
        <f>'BASE DE DATOS'!C26</f>
        <v>TI</v>
      </c>
      <c r="C25" s="27">
        <f>'BASE DE DATOS'!D26</f>
        <v>1027530989</v>
      </c>
      <c r="D25" s="28" t="str">
        <f>'BASE DE DATOS'!B26</f>
        <v>Angie Liseth Gaitán Cárdenas</v>
      </c>
      <c r="E25" s="29" t="s">
        <v>46</v>
      </c>
      <c r="F25" s="30" t="str">
        <f t="shared" si="2"/>
        <v/>
      </c>
      <c r="G25" s="41">
        <f t="shared" si="3"/>
        <v>20</v>
      </c>
      <c r="H25" s="42">
        <f t="shared" si="4"/>
        <v>0</v>
      </c>
      <c r="I25" s="42">
        <f t="shared" si="5"/>
        <v>0</v>
      </c>
      <c r="J25" s="42">
        <f t="shared" si="6"/>
        <v>0</v>
      </c>
      <c r="K25" s="42">
        <f t="shared" si="7"/>
        <v>0</v>
      </c>
      <c r="L25" s="42">
        <f t="shared" si="8"/>
        <v>0</v>
      </c>
      <c r="M25" s="32">
        <f t="shared" si="9"/>
        <v>0</v>
      </c>
      <c r="N25" s="33">
        <f t="shared" si="10"/>
        <v>0</v>
      </c>
      <c r="O25" s="43">
        <f t="shared" si="11"/>
        <v>0</v>
      </c>
      <c r="P25" s="35" t="s">
        <v>38</v>
      </c>
      <c r="Q25" s="35" t="s">
        <v>38</v>
      </c>
      <c r="R25" s="35" t="s">
        <v>38</v>
      </c>
      <c r="S25" s="35" t="s">
        <v>38</v>
      </c>
      <c r="T25" s="35" t="s">
        <v>38</v>
      </c>
      <c r="U25" s="35" t="s">
        <v>38</v>
      </c>
      <c r="V25" s="35" t="s">
        <v>38</v>
      </c>
      <c r="W25" s="35" t="s">
        <v>38</v>
      </c>
      <c r="X25" s="35" t="s">
        <v>38</v>
      </c>
      <c r="Y25" s="35" t="s">
        <v>38</v>
      </c>
      <c r="Z25" s="35" t="s">
        <v>38</v>
      </c>
      <c r="AA25" s="35" t="s">
        <v>38</v>
      </c>
      <c r="AB25" s="35" t="s">
        <v>38</v>
      </c>
      <c r="AC25" s="35" t="s">
        <v>38</v>
      </c>
      <c r="AD25" s="35" t="s">
        <v>38</v>
      </c>
      <c r="AE25" s="35" t="s">
        <v>38</v>
      </c>
      <c r="AF25" s="35" t="s">
        <v>38</v>
      </c>
      <c r="AG25" s="35" t="s">
        <v>38</v>
      </c>
      <c r="AH25" s="35" t="s">
        <v>38</v>
      </c>
      <c r="AI25" s="35" t="s">
        <v>38</v>
      </c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6"/>
      <c r="CY25" s="69"/>
      <c r="CZ25" s="36"/>
      <c r="DA25" s="69"/>
      <c r="DB25" s="36"/>
      <c r="DC25" s="69"/>
      <c r="DD25" s="36"/>
      <c r="DE25" s="69"/>
      <c r="DF25" s="36"/>
      <c r="DG25" s="69"/>
      <c r="DH25" s="36"/>
      <c r="DI25" s="69"/>
      <c r="DJ25" s="36"/>
      <c r="DK25" s="69"/>
      <c r="DL25" s="36"/>
      <c r="DM25" s="69"/>
      <c r="DN25" s="36"/>
      <c r="DO25" s="69"/>
      <c r="DP25" s="36"/>
      <c r="DQ25" s="69"/>
      <c r="DR25" s="36"/>
      <c r="DS25" s="69"/>
      <c r="DT25" s="36"/>
      <c r="DU25" s="69"/>
      <c r="DV25" s="37">
        <f t="shared" ref="DV25:DW25" si="29">CX25+CZ25+DB25+DD25+DF25+DH25+DJ25+DL25+DN25+DP25+DR25+DT25</f>
        <v>0</v>
      </c>
      <c r="DW25" s="38">
        <f t="shared" si="29"/>
        <v>0</v>
      </c>
      <c r="DY25" s="39"/>
    </row>
    <row r="26" spans="1:129" ht="15.75" customHeight="1">
      <c r="A26" s="40">
        <f t="shared" si="13"/>
        <v>18</v>
      </c>
      <c r="B26" s="26" t="str">
        <f>'BASE DE DATOS'!C27</f>
        <v>TI</v>
      </c>
      <c r="C26" s="27">
        <f>'BASE DE DATOS'!D27</f>
        <v>1027530471</v>
      </c>
      <c r="D26" s="28" t="str">
        <f>'BASE DE DATOS'!B27</f>
        <v>Yuranny Alexandra García Rincón</v>
      </c>
      <c r="E26" s="29" t="s">
        <v>46</v>
      </c>
      <c r="F26" s="30" t="str">
        <f t="shared" si="2"/>
        <v/>
      </c>
      <c r="G26" s="41">
        <f t="shared" si="3"/>
        <v>20</v>
      </c>
      <c r="H26" s="42">
        <f t="shared" si="4"/>
        <v>0</v>
      </c>
      <c r="I26" s="42">
        <f t="shared" si="5"/>
        <v>0</v>
      </c>
      <c r="J26" s="42">
        <f t="shared" si="6"/>
        <v>0</v>
      </c>
      <c r="K26" s="42">
        <f t="shared" si="7"/>
        <v>0</v>
      </c>
      <c r="L26" s="42">
        <f t="shared" si="8"/>
        <v>0</v>
      </c>
      <c r="M26" s="32">
        <f t="shared" si="9"/>
        <v>0</v>
      </c>
      <c r="N26" s="33">
        <f t="shared" si="10"/>
        <v>0</v>
      </c>
      <c r="O26" s="43">
        <f t="shared" si="11"/>
        <v>0</v>
      </c>
      <c r="P26" s="35" t="s">
        <v>38</v>
      </c>
      <c r="Q26" s="35" t="s">
        <v>38</v>
      </c>
      <c r="R26" s="35" t="s">
        <v>38</v>
      </c>
      <c r="S26" s="35" t="s">
        <v>38</v>
      </c>
      <c r="T26" s="35" t="s">
        <v>38</v>
      </c>
      <c r="U26" s="35" t="s">
        <v>38</v>
      </c>
      <c r="V26" s="35" t="s">
        <v>38</v>
      </c>
      <c r="W26" s="35" t="s">
        <v>38</v>
      </c>
      <c r="X26" s="35" t="s">
        <v>38</v>
      </c>
      <c r="Y26" s="35" t="s">
        <v>38</v>
      </c>
      <c r="Z26" s="35" t="s">
        <v>38</v>
      </c>
      <c r="AA26" s="35" t="s">
        <v>38</v>
      </c>
      <c r="AB26" s="35" t="s">
        <v>38</v>
      </c>
      <c r="AC26" s="35" t="s">
        <v>38</v>
      </c>
      <c r="AD26" s="35" t="s">
        <v>38</v>
      </c>
      <c r="AE26" s="35" t="s">
        <v>38</v>
      </c>
      <c r="AF26" s="35" t="s">
        <v>38</v>
      </c>
      <c r="AG26" s="35" t="s">
        <v>38</v>
      </c>
      <c r="AH26" s="35" t="s">
        <v>38</v>
      </c>
      <c r="AI26" s="35" t="s">
        <v>38</v>
      </c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6"/>
      <c r="CY26" s="69"/>
      <c r="CZ26" s="36"/>
      <c r="DA26" s="69"/>
      <c r="DB26" s="36"/>
      <c r="DC26" s="69"/>
      <c r="DD26" s="36"/>
      <c r="DE26" s="69"/>
      <c r="DF26" s="36"/>
      <c r="DG26" s="69"/>
      <c r="DH26" s="36"/>
      <c r="DI26" s="69"/>
      <c r="DJ26" s="36"/>
      <c r="DK26" s="69"/>
      <c r="DL26" s="36"/>
      <c r="DM26" s="69"/>
      <c r="DN26" s="36"/>
      <c r="DO26" s="69"/>
      <c r="DP26" s="36"/>
      <c r="DQ26" s="69"/>
      <c r="DR26" s="36"/>
      <c r="DS26" s="69"/>
      <c r="DT26" s="36"/>
      <c r="DU26" s="69"/>
      <c r="DV26" s="37">
        <f t="shared" ref="DV26:DW26" si="30">CX26+CZ26+DB26+DD26+DF26+DH26+DJ26+DL26+DN26+DP26+DR26+DT26</f>
        <v>0</v>
      </c>
      <c r="DW26" s="38">
        <f t="shared" si="30"/>
        <v>0</v>
      </c>
      <c r="DY26" s="39"/>
    </row>
    <row r="27" spans="1:129" ht="15.75" customHeight="1">
      <c r="A27" s="40">
        <f t="shared" si="13"/>
        <v>19</v>
      </c>
      <c r="B27" s="26" t="str">
        <f>'BASE DE DATOS'!C28</f>
        <v>TI</v>
      </c>
      <c r="C27" s="27">
        <f>'BASE DE DATOS'!D28</f>
        <v>1022968721</v>
      </c>
      <c r="D27" s="28" t="str">
        <f>'BASE DE DATOS'!B28</f>
        <v>Nicoll Mariana García Romero</v>
      </c>
      <c r="E27" s="29" t="s">
        <v>46</v>
      </c>
      <c r="F27" s="30" t="str">
        <f t="shared" si="2"/>
        <v>CON FALTAS</v>
      </c>
      <c r="G27" s="41">
        <f t="shared" si="3"/>
        <v>19</v>
      </c>
      <c r="H27" s="42">
        <f t="shared" si="4"/>
        <v>0</v>
      </c>
      <c r="I27" s="42">
        <f t="shared" si="5"/>
        <v>1</v>
      </c>
      <c r="J27" s="42">
        <f t="shared" si="6"/>
        <v>0</v>
      </c>
      <c r="K27" s="42">
        <f t="shared" si="7"/>
        <v>0</v>
      </c>
      <c r="L27" s="42">
        <f t="shared" si="8"/>
        <v>0</v>
      </c>
      <c r="M27" s="32">
        <f t="shared" si="9"/>
        <v>0</v>
      </c>
      <c r="N27" s="33">
        <f t="shared" si="10"/>
        <v>0</v>
      </c>
      <c r="O27" s="43">
        <f t="shared" si="11"/>
        <v>0.05</v>
      </c>
      <c r="P27" s="35" t="s">
        <v>38</v>
      </c>
      <c r="Q27" s="35" t="s">
        <v>38</v>
      </c>
      <c r="R27" s="35" t="s">
        <v>38</v>
      </c>
      <c r="S27" s="35" t="s">
        <v>38</v>
      </c>
      <c r="T27" s="35" t="s">
        <v>38</v>
      </c>
      <c r="U27" s="35" t="s">
        <v>38</v>
      </c>
      <c r="V27" s="35" t="s">
        <v>38</v>
      </c>
      <c r="W27" s="35" t="s">
        <v>38</v>
      </c>
      <c r="X27" s="35" t="s">
        <v>38</v>
      </c>
      <c r="Y27" s="35" t="s">
        <v>38</v>
      </c>
      <c r="Z27" s="35" t="s">
        <v>38</v>
      </c>
      <c r="AA27" s="35" t="s">
        <v>38</v>
      </c>
      <c r="AB27" s="35" t="s">
        <v>38</v>
      </c>
      <c r="AC27" s="35" t="s">
        <v>38</v>
      </c>
      <c r="AD27" s="35" t="s">
        <v>11</v>
      </c>
      <c r="AE27" s="35" t="s">
        <v>38</v>
      </c>
      <c r="AF27" s="35" t="s">
        <v>38</v>
      </c>
      <c r="AG27" s="35" t="s">
        <v>38</v>
      </c>
      <c r="AH27" s="35" t="s">
        <v>38</v>
      </c>
      <c r="AI27" s="35" t="s">
        <v>38</v>
      </c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6"/>
      <c r="CY27" s="69"/>
      <c r="CZ27" s="36"/>
      <c r="DA27" s="69"/>
      <c r="DB27" s="36"/>
      <c r="DC27" s="69"/>
      <c r="DD27" s="36"/>
      <c r="DE27" s="69"/>
      <c r="DF27" s="36"/>
      <c r="DG27" s="69"/>
      <c r="DH27" s="36"/>
      <c r="DI27" s="69"/>
      <c r="DJ27" s="36"/>
      <c r="DK27" s="69"/>
      <c r="DL27" s="36"/>
      <c r="DM27" s="69"/>
      <c r="DN27" s="36"/>
      <c r="DO27" s="69"/>
      <c r="DP27" s="36"/>
      <c r="DQ27" s="69"/>
      <c r="DR27" s="36"/>
      <c r="DS27" s="69"/>
      <c r="DT27" s="36"/>
      <c r="DU27" s="69"/>
      <c r="DV27" s="37">
        <f t="shared" ref="DV27:DW27" si="31">CX27+CZ27+DB27+DD27+DF27+DH27+DJ27+DL27+DN27+DP27+DR27+DT27</f>
        <v>0</v>
      </c>
      <c r="DW27" s="38">
        <f t="shared" si="31"/>
        <v>0</v>
      </c>
      <c r="DY27" s="39"/>
    </row>
    <row r="28" spans="1:129" ht="15.75" customHeight="1">
      <c r="A28" s="40">
        <f t="shared" si="13"/>
        <v>20</v>
      </c>
      <c r="B28" s="26" t="str">
        <f>'BASE DE DATOS'!C29</f>
        <v>TI</v>
      </c>
      <c r="C28" s="27">
        <f>'BASE DE DATOS'!D29</f>
        <v>1027530856</v>
      </c>
      <c r="D28" s="28" t="str">
        <f>'BASE DE DATOS'!B29</f>
        <v>Laura Camila Gómez Beltrán</v>
      </c>
      <c r="E28" s="29" t="s">
        <v>46</v>
      </c>
      <c r="F28" s="30" t="str">
        <f t="shared" si="2"/>
        <v>CON FALTAS</v>
      </c>
      <c r="G28" s="41">
        <f t="shared" si="3"/>
        <v>17</v>
      </c>
      <c r="H28" s="42">
        <f t="shared" si="4"/>
        <v>2</v>
      </c>
      <c r="I28" s="42">
        <f t="shared" si="5"/>
        <v>1</v>
      </c>
      <c r="J28" s="42">
        <f t="shared" si="6"/>
        <v>0</v>
      </c>
      <c r="K28" s="42">
        <f t="shared" si="7"/>
        <v>0</v>
      </c>
      <c r="L28" s="42">
        <f t="shared" si="8"/>
        <v>0</v>
      </c>
      <c r="M28" s="32">
        <f t="shared" si="9"/>
        <v>0</v>
      </c>
      <c r="N28" s="33">
        <f t="shared" si="10"/>
        <v>0</v>
      </c>
      <c r="O28" s="43">
        <f t="shared" si="11"/>
        <v>0.15</v>
      </c>
      <c r="P28" s="35" t="s">
        <v>38</v>
      </c>
      <c r="Q28" s="35" t="s">
        <v>38</v>
      </c>
      <c r="R28" s="35" t="s">
        <v>38</v>
      </c>
      <c r="S28" s="35" t="s">
        <v>38</v>
      </c>
      <c r="T28" s="35" t="s">
        <v>38</v>
      </c>
      <c r="U28" s="35" t="s">
        <v>38</v>
      </c>
      <c r="V28" s="35" t="s">
        <v>11</v>
      </c>
      <c r="W28" s="35" t="s">
        <v>38</v>
      </c>
      <c r="X28" s="35" t="s">
        <v>38</v>
      </c>
      <c r="Y28" s="35" t="s">
        <v>38</v>
      </c>
      <c r="Z28" s="35" t="s">
        <v>9</v>
      </c>
      <c r="AA28" s="35" t="s">
        <v>38</v>
      </c>
      <c r="AB28" s="35" t="s">
        <v>9</v>
      </c>
      <c r="AC28" s="35" t="s">
        <v>38</v>
      </c>
      <c r="AD28" s="35" t="s">
        <v>38</v>
      </c>
      <c r="AE28" s="35" t="s">
        <v>38</v>
      </c>
      <c r="AF28" s="35" t="s">
        <v>38</v>
      </c>
      <c r="AG28" s="35" t="s">
        <v>38</v>
      </c>
      <c r="AH28" s="35" t="s">
        <v>38</v>
      </c>
      <c r="AI28" s="35" t="s">
        <v>38</v>
      </c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6"/>
      <c r="CY28" s="69"/>
      <c r="CZ28" s="36"/>
      <c r="DA28" s="69"/>
      <c r="DB28" s="36"/>
      <c r="DC28" s="69"/>
      <c r="DD28" s="36"/>
      <c r="DE28" s="69"/>
      <c r="DF28" s="36"/>
      <c r="DG28" s="69"/>
      <c r="DH28" s="36"/>
      <c r="DI28" s="69"/>
      <c r="DJ28" s="36"/>
      <c r="DK28" s="69"/>
      <c r="DL28" s="36"/>
      <c r="DM28" s="69"/>
      <c r="DN28" s="36"/>
      <c r="DO28" s="69"/>
      <c r="DP28" s="36"/>
      <c r="DQ28" s="69"/>
      <c r="DR28" s="36"/>
      <c r="DS28" s="69"/>
      <c r="DT28" s="36"/>
      <c r="DU28" s="69"/>
      <c r="DV28" s="37">
        <f t="shared" ref="DV28:DW28" si="32">CX28+CZ28+DB28+DD28+DF28+DH28+DJ28+DL28+DN28+DP28+DR28+DT28</f>
        <v>0</v>
      </c>
      <c r="DW28" s="38">
        <f t="shared" si="32"/>
        <v>0</v>
      </c>
      <c r="DY28" s="39"/>
    </row>
    <row r="29" spans="1:129" ht="15.75" customHeight="1">
      <c r="A29" s="40">
        <f t="shared" si="13"/>
        <v>21</v>
      </c>
      <c r="B29" s="26" t="str">
        <f>'BASE DE DATOS'!C30</f>
        <v>TI</v>
      </c>
      <c r="C29" s="27">
        <f>'BASE DE DATOS'!D30</f>
        <v>1019766188</v>
      </c>
      <c r="D29" s="28" t="str">
        <f>'BASE DE DATOS'!B30</f>
        <v>Mariana Gutiérrez Guzmán</v>
      </c>
      <c r="E29" s="29" t="s">
        <v>46</v>
      </c>
      <c r="F29" s="30" t="str">
        <f t="shared" si="2"/>
        <v/>
      </c>
      <c r="G29" s="41">
        <f t="shared" si="3"/>
        <v>20</v>
      </c>
      <c r="H29" s="42">
        <f t="shared" si="4"/>
        <v>0</v>
      </c>
      <c r="I29" s="42">
        <f t="shared" si="5"/>
        <v>0</v>
      </c>
      <c r="J29" s="42">
        <f t="shared" si="6"/>
        <v>0</v>
      </c>
      <c r="K29" s="42">
        <f t="shared" si="7"/>
        <v>0</v>
      </c>
      <c r="L29" s="42">
        <f t="shared" si="8"/>
        <v>0</v>
      </c>
      <c r="M29" s="32">
        <f t="shared" si="9"/>
        <v>0</v>
      </c>
      <c r="N29" s="33">
        <f t="shared" si="10"/>
        <v>0</v>
      </c>
      <c r="O29" s="43">
        <f t="shared" si="11"/>
        <v>0</v>
      </c>
      <c r="P29" s="35" t="s">
        <v>38</v>
      </c>
      <c r="Q29" s="35" t="s">
        <v>38</v>
      </c>
      <c r="R29" s="35" t="s">
        <v>38</v>
      </c>
      <c r="S29" s="35" t="s">
        <v>38</v>
      </c>
      <c r="T29" s="35" t="s">
        <v>38</v>
      </c>
      <c r="U29" s="35" t="s">
        <v>38</v>
      </c>
      <c r="V29" s="35" t="s">
        <v>38</v>
      </c>
      <c r="W29" s="35" t="s">
        <v>38</v>
      </c>
      <c r="X29" s="35" t="s">
        <v>38</v>
      </c>
      <c r="Y29" s="35" t="s">
        <v>38</v>
      </c>
      <c r="Z29" s="35" t="s">
        <v>38</v>
      </c>
      <c r="AA29" s="35" t="s">
        <v>38</v>
      </c>
      <c r="AB29" s="35" t="s">
        <v>38</v>
      </c>
      <c r="AC29" s="35" t="s">
        <v>38</v>
      </c>
      <c r="AD29" s="35" t="s">
        <v>38</v>
      </c>
      <c r="AE29" s="35" t="s">
        <v>38</v>
      </c>
      <c r="AF29" s="35" t="s">
        <v>38</v>
      </c>
      <c r="AG29" s="35" t="s">
        <v>38</v>
      </c>
      <c r="AH29" s="35" t="s">
        <v>38</v>
      </c>
      <c r="AI29" s="35" t="s">
        <v>38</v>
      </c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6"/>
      <c r="CY29" s="69"/>
      <c r="CZ29" s="36"/>
      <c r="DA29" s="69"/>
      <c r="DB29" s="36"/>
      <c r="DC29" s="69"/>
      <c r="DD29" s="36"/>
      <c r="DE29" s="69"/>
      <c r="DF29" s="36"/>
      <c r="DG29" s="69"/>
      <c r="DH29" s="36"/>
      <c r="DI29" s="69"/>
      <c r="DJ29" s="36"/>
      <c r="DK29" s="69"/>
      <c r="DL29" s="36"/>
      <c r="DM29" s="69"/>
      <c r="DN29" s="36"/>
      <c r="DO29" s="69"/>
      <c r="DP29" s="36"/>
      <c r="DQ29" s="69"/>
      <c r="DR29" s="36"/>
      <c r="DS29" s="69"/>
      <c r="DT29" s="36"/>
      <c r="DU29" s="69"/>
      <c r="DV29" s="37">
        <f t="shared" ref="DV29:DW29" si="33">CX29+CZ29+DB29+DD29+DF29+DH29+DJ29+DL29+DN29+DP29+DR29+DT29</f>
        <v>0</v>
      </c>
      <c r="DW29" s="38">
        <f t="shared" si="33"/>
        <v>0</v>
      </c>
      <c r="DY29" s="39"/>
    </row>
    <row r="30" spans="1:129" ht="15.75" customHeight="1">
      <c r="A30" s="40">
        <f t="shared" si="13"/>
        <v>22</v>
      </c>
      <c r="B30" s="26" t="str">
        <f>'BASE DE DATOS'!C31</f>
        <v>TI</v>
      </c>
      <c r="C30" s="27">
        <f>'BASE DE DATOS'!D31</f>
        <v>1013637824</v>
      </c>
      <c r="D30" s="28" t="str">
        <f>'BASE DE DATOS'!B31</f>
        <v>Isabella Hernández Gómez</v>
      </c>
      <c r="E30" s="29" t="s">
        <v>46</v>
      </c>
      <c r="F30" s="30" t="str">
        <f t="shared" si="2"/>
        <v/>
      </c>
      <c r="G30" s="41">
        <f t="shared" si="3"/>
        <v>20</v>
      </c>
      <c r="H30" s="42">
        <f t="shared" si="4"/>
        <v>0</v>
      </c>
      <c r="I30" s="42">
        <f t="shared" si="5"/>
        <v>0</v>
      </c>
      <c r="J30" s="42">
        <f t="shared" si="6"/>
        <v>0</v>
      </c>
      <c r="K30" s="42">
        <f t="shared" si="7"/>
        <v>0</v>
      </c>
      <c r="L30" s="42">
        <f t="shared" si="8"/>
        <v>0</v>
      </c>
      <c r="M30" s="32">
        <f t="shared" si="9"/>
        <v>0</v>
      </c>
      <c r="N30" s="33">
        <f t="shared" si="10"/>
        <v>0</v>
      </c>
      <c r="O30" s="43">
        <f t="shared" si="11"/>
        <v>0</v>
      </c>
      <c r="P30" s="35" t="s">
        <v>38</v>
      </c>
      <c r="Q30" s="35" t="s">
        <v>38</v>
      </c>
      <c r="R30" s="35" t="s">
        <v>38</v>
      </c>
      <c r="S30" s="35" t="s">
        <v>38</v>
      </c>
      <c r="T30" s="35" t="s">
        <v>38</v>
      </c>
      <c r="U30" s="35" t="s">
        <v>38</v>
      </c>
      <c r="V30" s="35" t="s">
        <v>38</v>
      </c>
      <c r="W30" s="35" t="s">
        <v>38</v>
      </c>
      <c r="X30" s="35" t="s">
        <v>38</v>
      </c>
      <c r="Y30" s="35" t="s">
        <v>38</v>
      </c>
      <c r="Z30" s="35" t="s">
        <v>38</v>
      </c>
      <c r="AA30" s="35" t="s">
        <v>38</v>
      </c>
      <c r="AB30" s="35" t="s">
        <v>38</v>
      </c>
      <c r="AC30" s="35" t="s">
        <v>38</v>
      </c>
      <c r="AD30" s="35" t="s">
        <v>38</v>
      </c>
      <c r="AE30" s="35" t="s">
        <v>38</v>
      </c>
      <c r="AF30" s="35" t="s">
        <v>38</v>
      </c>
      <c r="AG30" s="35" t="s">
        <v>38</v>
      </c>
      <c r="AH30" s="35" t="s">
        <v>38</v>
      </c>
      <c r="AI30" s="35" t="s">
        <v>38</v>
      </c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6"/>
      <c r="CY30" s="69"/>
      <c r="CZ30" s="36"/>
      <c r="DA30" s="69"/>
      <c r="DB30" s="36"/>
      <c r="DC30" s="69"/>
      <c r="DD30" s="36"/>
      <c r="DE30" s="69"/>
      <c r="DF30" s="36"/>
      <c r="DG30" s="69"/>
      <c r="DH30" s="36"/>
      <c r="DI30" s="69"/>
      <c r="DJ30" s="36"/>
      <c r="DK30" s="69"/>
      <c r="DL30" s="36"/>
      <c r="DM30" s="69"/>
      <c r="DN30" s="36"/>
      <c r="DO30" s="69"/>
      <c r="DP30" s="36"/>
      <c r="DQ30" s="69"/>
      <c r="DR30" s="36"/>
      <c r="DS30" s="69"/>
      <c r="DT30" s="36"/>
      <c r="DU30" s="69"/>
      <c r="DV30" s="37">
        <f t="shared" ref="DV30:DW30" si="34">CX30+CZ30+DB30+DD30+DF30+DH30+DJ30+DL30+DN30+DP30+DR30+DT30</f>
        <v>0</v>
      </c>
      <c r="DW30" s="38">
        <f t="shared" si="34"/>
        <v>0</v>
      </c>
      <c r="DY30" s="39"/>
    </row>
    <row r="31" spans="1:129" ht="15.75" customHeight="1">
      <c r="A31" s="40">
        <f t="shared" si="13"/>
        <v>23</v>
      </c>
      <c r="B31" s="26" t="str">
        <f>'BASE DE DATOS'!C32</f>
        <v>TI</v>
      </c>
      <c r="C31" s="27">
        <f>'BASE DE DATOS'!D32</f>
        <v>1018451032</v>
      </c>
      <c r="D31" s="28" t="str">
        <f>'BASE DE DATOS'!B32</f>
        <v>Valeria Herrera García</v>
      </c>
      <c r="E31" s="29" t="s">
        <v>46</v>
      </c>
      <c r="F31" s="30" t="str">
        <f t="shared" si="2"/>
        <v/>
      </c>
      <c r="G31" s="41">
        <f t="shared" si="3"/>
        <v>20</v>
      </c>
      <c r="H31" s="42">
        <f t="shared" si="4"/>
        <v>0</v>
      </c>
      <c r="I31" s="42">
        <f t="shared" si="5"/>
        <v>0</v>
      </c>
      <c r="J31" s="42">
        <f t="shared" si="6"/>
        <v>0</v>
      </c>
      <c r="K31" s="42">
        <f t="shared" si="7"/>
        <v>0</v>
      </c>
      <c r="L31" s="42">
        <f t="shared" si="8"/>
        <v>0</v>
      </c>
      <c r="M31" s="32">
        <f t="shared" si="9"/>
        <v>0</v>
      </c>
      <c r="N31" s="33">
        <f t="shared" si="10"/>
        <v>0</v>
      </c>
      <c r="O31" s="43">
        <f t="shared" si="11"/>
        <v>0</v>
      </c>
      <c r="P31" s="35" t="s">
        <v>38</v>
      </c>
      <c r="Q31" s="35" t="s">
        <v>38</v>
      </c>
      <c r="R31" s="35" t="s">
        <v>38</v>
      </c>
      <c r="S31" s="35" t="s">
        <v>38</v>
      </c>
      <c r="T31" s="35" t="s">
        <v>38</v>
      </c>
      <c r="U31" s="35" t="s">
        <v>38</v>
      </c>
      <c r="V31" s="35" t="s">
        <v>38</v>
      </c>
      <c r="W31" s="35" t="s">
        <v>38</v>
      </c>
      <c r="X31" s="35" t="s">
        <v>38</v>
      </c>
      <c r="Y31" s="35" t="s">
        <v>38</v>
      </c>
      <c r="Z31" s="35" t="s">
        <v>38</v>
      </c>
      <c r="AA31" s="35" t="s">
        <v>38</v>
      </c>
      <c r="AB31" s="35" t="s">
        <v>38</v>
      </c>
      <c r="AC31" s="35" t="s">
        <v>38</v>
      </c>
      <c r="AD31" s="35" t="s">
        <v>38</v>
      </c>
      <c r="AE31" s="35" t="s">
        <v>38</v>
      </c>
      <c r="AF31" s="35" t="s">
        <v>38</v>
      </c>
      <c r="AG31" s="35" t="s">
        <v>38</v>
      </c>
      <c r="AH31" s="35" t="s">
        <v>38</v>
      </c>
      <c r="AI31" s="35" t="s">
        <v>38</v>
      </c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6"/>
      <c r="CY31" s="69"/>
      <c r="CZ31" s="36"/>
      <c r="DA31" s="69"/>
      <c r="DB31" s="36"/>
      <c r="DC31" s="69"/>
      <c r="DD31" s="36"/>
      <c r="DE31" s="69"/>
      <c r="DF31" s="36"/>
      <c r="DG31" s="69"/>
      <c r="DH31" s="36"/>
      <c r="DI31" s="69"/>
      <c r="DJ31" s="36"/>
      <c r="DK31" s="69"/>
      <c r="DL31" s="36"/>
      <c r="DM31" s="69"/>
      <c r="DN31" s="36"/>
      <c r="DO31" s="69"/>
      <c r="DP31" s="36"/>
      <c r="DQ31" s="69"/>
      <c r="DR31" s="36"/>
      <c r="DS31" s="69"/>
      <c r="DT31" s="36"/>
      <c r="DU31" s="69"/>
      <c r="DV31" s="37">
        <f t="shared" ref="DV31:DW31" si="35">CX31+CZ31+DB31+DD31+DF31+DH31+DJ31+DL31+DN31+DP31+DR31+DT31</f>
        <v>0</v>
      </c>
      <c r="DW31" s="38">
        <f t="shared" si="35"/>
        <v>0</v>
      </c>
    </row>
    <row r="32" spans="1:129" ht="15.75" customHeight="1">
      <c r="A32" s="40">
        <f t="shared" si="13"/>
        <v>24</v>
      </c>
      <c r="B32" s="26" t="str">
        <f>'BASE DE DATOS'!C33</f>
        <v>TI</v>
      </c>
      <c r="C32" s="27">
        <f>'BASE DE DATOS'!D33</f>
        <v>1140921303</v>
      </c>
      <c r="D32" s="28" t="str">
        <f>'BASE DE DATOS'!B33</f>
        <v>Aslhey Yijam Jaramillo Álvarez</v>
      </c>
      <c r="E32" s="29" t="s">
        <v>46</v>
      </c>
      <c r="F32" s="30" t="str">
        <f t="shared" si="2"/>
        <v/>
      </c>
      <c r="G32" s="41">
        <f t="shared" si="3"/>
        <v>20</v>
      </c>
      <c r="H32" s="42">
        <f t="shared" si="4"/>
        <v>0</v>
      </c>
      <c r="I32" s="42">
        <f t="shared" si="5"/>
        <v>0</v>
      </c>
      <c r="J32" s="42">
        <f t="shared" si="6"/>
        <v>0</v>
      </c>
      <c r="K32" s="42">
        <f t="shared" si="7"/>
        <v>0</v>
      </c>
      <c r="L32" s="42">
        <f t="shared" si="8"/>
        <v>0</v>
      </c>
      <c r="M32" s="32">
        <f t="shared" si="9"/>
        <v>0</v>
      </c>
      <c r="N32" s="33">
        <f t="shared" si="10"/>
        <v>0</v>
      </c>
      <c r="O32" s="43">
        <f t="shared" si="11"/>
        <v>0</v>
      </c>
      <c r="P32" s="35" t="s">
        <v>38</v>
      </c>
      <c r="Q32" s="35" t="s">
        <v>38</v>
      </c>
      <c r="R32" s="35" t="s">
        <v>38</v>
      </c>
      <c r="S32" s="35" t="s">
        <v>38</v>
      </c>
      <c r="T32" s="35" t="s">
        <v>38</v>
      </c>
      <c r="U32" s="35" t="s">
        <v>38</v>
      </c>
      <c r="V32" s="35" t="s">
        <v>38</v>
      </c>
      <c r="W32" s="35" t="s">
        <v>38</v>
      </c>
      <c r="X32" s="35" t="s">
        <v>38</v>
      </c>
      <c r="Y32" s="35" t="s">
        <v>38</v>
      </c>
      <c r="Z32" s="35" t="s">
        <v>38</v>
      </c>
      <c r="AA32" s="35" t="s">
        <v>38</v>
      </c>
      <c r="AB32" s="35" t="s">
        <v>38</v>
      </c>
      <c r="AC32" s="35" t="s">
        <v>38</v>
      </c>
      <c r="AD32" s="35" t="s">
        <v>38</v>
      </c>
      <c r="AE32" s="35" t="s">
        <v>38</v>
      </c>
      <c r="AF32" s="35" t="s">
        <v>38</v>
      </c>
      <c r="AG32" s="35" t="s">
        <v>38</v>
      </c>
      <c r="AH32" s="35" t="s">
        <v>38</v>
      </c>
      <c r="AI32" s="35" t="s">
        <v>38</v>
      </c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6"/>
      <c r="CY32" s="69"/>
      <c r="CZ32" s="36"/>
      <c r="DA32" s="69"/>
      <c r="DB32" s="36"/>
      <c r="DC32" s="69"/>
      <c r="DD32" s="36"/>
      <c r="DE32" s="69"/>
      <c r="DF32" s="36"/>
      <c r="DG32" s="69"/>
      <c r="DH32" s="36"/>
      <c r="DI32" s="69"/>
      <c r="DJ32" s="36"/>
      <c r="DK32" s="69"/>
      <c r="DL32" s="36"/>
      <c r="DM32" s="69"/>
      <c r="DN32" s="36"/>
      <c r="DO32" s="69"/>
      <c r="DP32" s="36"/>
      <c r="DQ32" s="69"/>
      <c r="DR32" s="36"/>
      <c r="DS32" s="69"/>
      <c r="DT32" s="36"/>
      <c r="DU32" s="69"/>
      <c r="DV32" s="37">
        <f t="shared" ref="DV32:DW32" si="36">CX32+CZ32+DB32+DD32+DF32+DH32+DJ32+DL32+DN32+DP32+DR32+DT32</f>
        <v>0</v>
      </c>
      <c r="DW32" s="38">
        <f t="shared" si="36"/>
        <v>0</v>
      </c>
    </row>
    <row r="33" spans="1:127" ht="15.75" customHeight="1">
      <c r="A33" s="40">
        <f t="shared" si="13"/>
        <v>25</v>
      </c>
      <c r="B33" s="26" t="str">
        <f>'BASE DE DATOS'!C34</f>
        <v>CC</v>
      </c>
      <c r="C33" s="27">
        <f>'BASE DE DATOS'!D34</f>
        <v>1018428656</v>
      </c>
      <c r="D33" s="28" t="str">
        <f>'BASE DE DATOS'!B34</f>
        <v>Santiago Lizcano Pulido</v>
      </c>
      <c r="E33" s="29" t="s">
        <v>46</v>
      </c>
      <c r="F33" s="30" t="str">
        <f t="shared" si="2"/>
        <v/>
      </c>
      <c r="G33" s="41">
        <f t="shared" si="3"/>
        <v>13</v>
      </c>
      <c r="H33" s="42">
        <f t="shared" si="4"/>
        <v>7</v>
      </c>
      <c r="I33" s="42">
        <f t="shared" si="5"/>
        <v>0</v>
      </c>
      <c r="J33" s="42">
        <f t="shared" si="6"/>
        <v>0</v>
      </c>
      <c r="K33" s="42">
        <f t="shared" si="7"/>
        <v>0</v>
      </c>
      <c r="L33" s="42">
        <f t="shared" si="8"/>
        <v>0</v>
      </c>
      <c r="M33" s="32">
        <f t="shared" si="9"/>
        <v>0</v>
      </c>
      <c r="N33" s="33">
        <f t="shared" si="10"/>
        <v>0</v>
      </c>
      <c r="O33" s="43">
        <f>IFERROR(SUM(H33:K33)/SUM(G33:K33)," ")</f>
        <v>0.35</v>
      </c>
      <c r="P33" s="35" t="s">
        <v>38</v>
      </c>
      <c r="Q33" s="35" t="s">
        <v>38</v>
      </c>
      <c r="R33" s="35" t="s">
        <v>38</v>
      </c>
      <c r="S33" s="35" t="s">
        <v>38</v>
      </c>
      <c r="T33" s="35" t="s">
        <v>38</v>
      </c>
      <c r="U33" s="35" t="s">
        <v>38</v>
      </c>
      <c r="V33" s="35" t="s">
        <v>9</v>
      </c>
      <c r="W33" s="35" t="s">
        <v>38</v>
      </c>
      <c r="X33" s="35" t="s">
        <v>38</v>
      </c>
      <c r="Y33" s="35" t="s">
        <v>38</v>
      </c>
      <c r="Z33" s="35" t="s">
        <v>9</v>
      </c>
      <c r="AA33" s="35" t="s">
        <v>9</v>
      </c>
      <c r="AB33" s="35" t="s">
        <v>9</v>
      </c>
      <c r="AC33" s="35" t="s">
        <v>9</v>
      </c>
      <c r="AD33" s="35" t="s">
        <v>9</v>
      </c>
      <c r="AE33" s="35" t="s">
        <v>9</v>
      </c>
      <c r="AF33" s="35" t="s">
        <v>38</v>
      </c>
      <c r="AG33" s="35" t="s">
        <v>38</v>
      </c>
      <c r="AH33" s="35" t="s">
        <v>38</v>
      </c>
      <c r="AI33" s="35" t="s">
        <v>38</v>
      </c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6"/>
      <c r="CY33" s="69"/>
      <c r="CZ33" s="36"/>
      <c r="DA33" s="69"/>
      <c r="DB33" s="36"/>
      <c r="DC33" s="69"/>
      <c r="DD33" s="36"/>
      <c r="DE33" s="69"/>
      <c r="DF33" s="36"/>
      <c r="DG33" s="69"/>
      <c r="DH33" s="36"/>
      <c r="DI33" s="69"/>
      <c r="DJ33" s="36"/>
      <c r="DK33" s="69"/>
      <c r="DL33" s="36"/>
      <c r="DM33" s="69"/>
      <c r="DN33" s="36"/>
      <c r="DO33" s="69"/>
      <c r="DP33" s="36"/>
      <c r="DQ33" s="69"/>
      <c r="DR33" s="36"/>
      <c r="DS33" s="69"/>
      <c r="DT33" s="36"/>
      <c r="DU33" s="69"/>
      <c r="DV33" s="37">
        <f t="shared" ref="DV33:DW33" si="37">CX33+CZ33+DB33+DD33+DF33+DH33+DJ33+DL33+DN33+DP33+DR33+DT33</f>
        <v>0</v>
      </c>
      <c r="DW33" s="38">
        <f t="shared" si="37"/>
        <v>0</v>
      </c>
    </row>
    <row r="34" spans="1:127" ht="15.75" customHeight="1">
      <c r="A34" s="40">
        <f t="shared" si="13"/>
        <v>26</v>
      </c>
      <c r="B34" s="26" t="str">
        <f>'BASE DE DATOS'!C35</f>
        <v>TI</v>
      </c>
      <c r="C34" s="27">
        <f>'BASE DE DATOS'!D35</f>
        <v>1140923149</v>
      </c>
      <c r="D34" s="28" t="str">
        <f>'BASE DE DATOS'!B35</f>
        <v>Brayan Stiven Martínez Esquivel</v>
      </c>
      <c r="E34" s="29" t="s">
        <v>46</v>
      </c>
      <c r="F34" s="30" t="str">
        <f t="shared" si="2"/>
        <v/>
      </c>
      <c r="G34" s="41">
        <f t="shared" si="3"/>
        <v>20</v>
      </c>
      <c r="H34" s="42">
        <f t="shared" si="4"/>
        <v>0</v>
      </c>
      <c r="I34" s="42">
        <f t="shared" si="5"/>
        <v>0</v>
      </c>
      <c r="J34" s="42">
        <f t="shared" si="6"/>
        <v>0</v>
      </c>
      <c r="K34" s="42">
        <f t="shared" si="7"/>
        <v>0</v>
      </c>
      <c r="L34" s="42">
        <f t="shared" si="8"/>
        <v>0</v>
      </c>
      <c r="M34" s="32">
        <f t="shared" si="9"/>
        <v>0</v>
      </c>
      <c r="N34" s="33">
        <f t="shared" si="10"/>
        <v>0</v>
      </c>
      <c r="O34" s="43">
        <f t="shared" si="11"/>
        <v>0</v>
      </c>
      <c r="P34" s="35" t="s">
        <v>38</v>
      </c>
      <c r="Q34" s="35" t="s">
        <v>38</v>
      </c>
      <c r="R34" s="35" t="s">
        <v>38</v>
      </c>
      <c r="S34" s="35" t="s">
        <v>38</v>
      </c>
      <c r="T34" s="35" t="s">
        <v>38</v>
      </c>
      <c r="U34" s="35" t="s">
        <v>38</v>
      </c>
      <c r="V34" s="35" t="s">
        <v>38</v>
      </c>
      <c r="W34" s="35" t="s">
        <v>38</v>
      </c>
      <c r="X34" s="35" t="s">
        <v>38</v>
      </c>
      <c r="Y34" s="35" t="s">
        <v>38</v>
      </c>
      <c r="Z34" s="35" t="s">
        <v>38</v>
      </c>
      <c r="AA34" s="35" t="s">
        <v>38</v>
      </c>
      <c r="AB34" s="35" t="s">
        <v>38</v>
      </c>
      <c r="AC34" s="35" t="s">
        <v>38</v>
      </c>
      <c r="AD34" s="35" t="s">
        <v>38</v>
      </c>
      <c r="AE34" s="35" t="s">
        <v>38</v>
      </c>
      <c r="AF34" s="35" t="s">
        <v>38</v>
      </c>
      <c r="AG34" s="35" t="s">
        <v>38</v>
      </c>
      <c r="AH34" s="35" t="s">
        <v>38</v>
      </c>
      <c r="AI34" s="35" t="s">
        <v>38</v>
      </c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6"/>
      <c r="CY34" s="69"/>
      <c r="CZ34" s="36"/>
      <c r="DA34" s="69"/>
      <c r="DB34" s="36"/>
      <c r="DC34" s="69"/>
      <c r="DD34" s="36"/>
      <c r="DE34" s="69"/>
      <c r="DF34" s="36"/>
      <c r="DG34" s="69"/>
      <c r="DH34" s="36"/>
      <c r="DI34" s="69"/>
      <c r="DJ34" s="36"/>
      <c r="DK34" s="69"/>
      <c r="DL34" s="36"/>
      <c r="DM34" s="69"/>
      <c r="DN34" s="36"/>
      <c r="DO34" s="69"/>
      <c r="DP34" s="36"/>
      <c r="DQ34" s="69"/>
      <c r="DR34" s="36"/>
      <c r="DS34" s="69"/>
      <c r="DT34" s="36"/>
      <c r="DU34" s="69"/>
      <c r="DV34" s="37">
        <f t="shared" ref="DV34:DW34" si="38">CX34+CZ34+DB34+DD34+DF34+DH34+DJ34+DL34+DN34+DP34+DR34+DT34</f>
        <v>0</v>
      </c>
      <c r="DW34" s="38">
        <f t="shared" si="38"/>
        <v>0</v>
      </c>
    </row>
    <row r="35" spans="1:127" ht="15.75" customHeight="1">
      <c r="A35" s="40">
        <f t="shared" si="13"/>
        <v>27</v>
      </c>
      <c r="B35" s="26" t="str">
        <f>'BASE DE DATOS'!C36</f>
        <v>TI</v>
      </c>
      <c r="C35" s="27">
        <f>'BASE DE DATOS'!D36</f>
        <v>1027532372</v>
      </c>
      <c r="D35" s="28" t="str">
        <f>'BASE DE DATOS'!B36</f>
        <v>Lizeth Tatiana Martínez Ramírez</v>
      </c>
      <c r="E35" s="29" t="s">
        <v>46</v>
      </c>
      <c r="F35" s="30" t="str">
        <f t="shared" si="2"/>
        <v/>
      </c>
      <c r="G35" s="41">
        <f t="shared" si="3"/>
        <v>20</v>
      </c>
      <c r="H35" s="42">
        <f t="shared" si="4"/>
        <v>0</v>
      </c>
      <c r="I35" s="42">
        <f t="shared" si="5"/>
        <v>0</v>
      </c>
      <c r="J35" s="42">
        <f t="shared" si="6"/>
        <v>0</v>
      </c>
      <c r="K35" s="42">
        <f t="shared" si="7"/>
        <v>0</v>
      </c>
      <c r="L35" s="42">
        <f t="shared" si="8"/>
        <v>0</v>
      </c>
      <c r="M35" s="32">
        <f t="shared" si="9"/>
        <v>0</v>
      </c>
      <c r="N35" s="33">
        <f t="shared" si="10"/>
        <v>0</v>
      </c>
      <c r="O35" s="43">
        <f t="shared" si="11"/>
        <v>0</v>
      </c>
      <c r="P35" s="35" t="s">
        <v>38</v>
      </c>
      <c r="Q35" s="35" t="s">
        <v>38</v>
      </c>
      <c r="R35" s="35" t="s">
        <v>38</v>
      </c>
      <c r="S35" s="35" t="s">
        <v>38</v>
      </c>
      <c r="T35" s="35" t="s">
        <v>38</v>
      </c>
      <c r="U35" s="35" t="s">
        <v>38</v>
      </c>
      <c r="V35" s="35" t="s">
        <v>38</v>
      </c>
      <c r="W35" s="35" t="s">
        <v>38</v>
      </c>
      <c r="X35" s="35" t="s">
        <v>38</v>
      </c>
      <c r="Y35" s="35" t="s">
        <v>38</v>
      </c>
      <c r="Z35" s="35" t="s">
        <v>38</v>
      </c>
      <c r="AA35" s="35" t="s">
        <v>38</v>
      </c>
      <c r="AB35" s="35" t="s">
        <v>38</v>
      </c>
      <c r="AC35" s="35" t="s">
        <v>38</v>
      </c>
      <c r="AD35" s="35" t="s">
        <v>38</v>
      </c>
      <c r="AE35" s="35" t="s">
        <v>38</v>
      </c>
      <c r="AF35" s="35" t="s">
        <v>38</v>
      </c>
      <c r="AG35" s="35" t="s">
        <v>38</v>
      </c>
      <c r="AH35" s="35" t="s">
        <v>38</v>
      </c>
      <c r="AI35" s="35" t="s">
        <v>38</v>
      </c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6"/>
      <c r="CY35" s="69"/>
      <c r="CZ35" s="36"/>
      <c r="DA35" s="69"/>
      <c r="DB35" s="36"/>
      <c r="DC35" s="69"/>
      <c r="DD35" s="36"/>
      <c r="DE35" s="69"/>
      <c r="DF35" s="36"/>
      <c r="DG35" s="69"/>
      <c r="DH35" s="36"/>
      <c r="DI35" s="69"/>
      <c r="DJ35" s="36"/>
      <c r="DK35" s="69"/>
      <c r="DL35" s="36"/>
      <c r="DM35" s="69"/>
      <c r="DN35" s="36"/>
      <c r="DO35" s="69"/>
      <c r="DP35" s="36"/>
      <c r="DQ35" s="69"/>
      <c r="DR35" s="36"/>
      <c r="DS35" s="69"/>
      <c r="DT35" s="36"/>
      <c r="DU35" s="69"/>
      <c r="DV35" s="37">
        <f t="shared" ref="DV35:DW35" si="39">CX35+CZ35+DB35+DD35+DF35+DH35+DJ35+DL35+DN35+DP35+DR35+DT35</f>
        <v>0</v>
      </c>
      <c r="DW35" s="38">
        <f t="shared" si="39"/>
        <v>0</v>
      </c>
    </row>
    <row r="36" spans="1:127" ht="15.75" customHeight="1">
      <c r="A36" s="40">
        <f t="shared" si="13"/>
        <v>28</v>
      </c>
      <c r="B36" s="26" t="str">
        <f>'BASE DE DATOS'!C37</f>
        <v>TI</v>
      </c>
      <c r="C36" s="27">
        <f>'BASE DE DATOS'!D37</f>
        <v>1056613175</v>
      </c>
      <c r="D36" s="28" t="str">
        <f>'BASE DE DATOS'!B37</f>
        <v>Estefanía Martínez Romero</v>
      </c>
      <c r="E36" s="29" t="s">
        <v>46</v>
      </c>
      <c r="F36" s="30" t="str">
        <f t="shared" si="2"/>
        <v/>
      </c>
      <c r="G36" s="41">
        <f t="shared" si="3"/>
        <v>20</v>
      </c>
      <c r="H36" s="42">
        <f t="shared" si="4"/>
        <v>0</v>
      </c>
      <c r="I36" s="42">
        <f t="shared" si="5"/>
        <v>0</v>
      </c>
      <c r="J36" s="42">
        <f t="shared" si="6"/>
        <v>0</v>
      </c>
      <c r="K36" s="42">
        <f t="shared" si="7"/>
        <v>0</v>
      </c>
      <c r="L36" s="42">
        <f t="shared" si="8"/>
        <v>0</v>
      </c>
      <c r="M36" s="32">
        <f t="shared" si="9"/>
        <v>0</v>
      </c>
      <c r="N36" s="33">
        <f t="shared" si="10"/>
        <v>0</v>
      </c>
      <c r="O36" s="43">
        <f t="shared" si="11"/>
        <v>0</v>
      </c>
      <c r="P36" s="35" t="s">
        <v>38</v>
      </c>
      <c r="Q36" s="35" t="s">
        <v>38</v>
      </c>
      <c r="R36" s="35" t="s">
        <v>38</v>
      </c>
      <c r="S36" s="35" t="s">
        <v>38</v>
      </c>
      <c r="T36" s="35" t="s">
        <v>38</v>
      </c>
      <c r="U36" s="35" t="s">
        <v>38</v>
      </c>
      <c r="V36" s="35" t="s">
        <v>38</v>
      </c>
      <c r="W36" s="35" t="s">
        <v>38</v>
      </c>
      <c r="X36" s="35" t="s">
        <v>38</v>
      </c>
      <c r="Y36" s="35" t="s">
        <v>38</v>
      </c>
      <c r="Z36" s="35" t="s">
        <v>38</v>
      </c>
      <c r="AA36" s="35" t="s">
        <v>38</v>
      </c>
      <c r="AB36" s="35" t="s">
        <v>38</v>
      </c>
      <c r="AC36" s="35" t="s">
        <v>38</v>
      </c>
      <c r="AD36" s="35" t="s">
        <v>38</v>
      </c>
      <c r="AE36" s="35" t="s">
        <v>38</v>
      </c>
      <c r="AF36" s="35" t="s">
        <v>38</v>
      </c>
      <c r="AG36" s="35" t="s">
        <v>38</v>
      </c>
      <c r="AH36" s="35" t="s">
        <v>38</v>
      </c>
      <c r="AI36" s="35" t="s">
        <v>38</v>
      </c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6"/>
      <c r="CY36" s="69"/>
      <c r="CZ36" s="36"/>
      <c r="DA36" s="69"/>
      <c r="DB36" s="36"/>
      <c r="DC36" s="69"/>
      <c r="DD36" s="36"/>
      <c r="DE36" s="69"/>
      <c r="DF36" s="36"/>
      <c r="DG36" s="69"/>
      <c r="DH36" s="36"/>
      <c r="DI36" s="69"/>
      <c r="DJ36" s="36"/>
      <c r="DK36" s="69"/>
      <c r="DL36" s="36"/>
      <c r="DM36" s="69"/>
      <c r="DN36" s="36"/>
      <c r="DO36" s="69"/>
      <c r="DP36" s="36"/>
      <c r="DQ36" s="69"/>
      <c r="DR36" s="36"/>
      <c r="DS36" s="69"/>
      <c r="DT36" s="36"/>
      <c r="DU36" s="69"/>
      <c r="DV36" s="37">
        <f t="shared" ref="DV36:DW36" si="40">CX36+CZ36+DB36+DD36+DF36+DH36+DJ36+DL36+DN36+DP36+DR36+DT36</f>
        <v>0</v>
      </c>
      <c r="DW36" s="38">
        <f t="shared" si="40"/>
        <v>0</v>
      </c>
    </row>
    <row r="37" spans="1:127" ht="15.75" customHeight="1">
      <c r="A37" s="40">
        <f t="shared" si="13"/>
        <v>29</v>
      </c>
      <c r="B37" s="26" t="str">
        <f>'BASE DE DATOS'!C38</f>
        <v>TI</v>
      </c>
      <c r="C37" s="27">
        <f>'BASE DE DATOS'!D38</f>
        <v>1140923878</v>
      </c>
      <c r="D37" s="28" t="str">
        <f>'BASE DE DATOS'!B38</f>
        <v>Silvana Montien Beltrán</v>
      </c>
      <c r="E37" s="29" t="s">
        <v>46</v>
      </c>
      <c r="F37" s="30" t="str">
        <f t="shared" si="2"/>
        <v/>
      </c>
      <c r="G37" s="41">
        <f t="shared" si="3"/>
        <v>20</v>
      </c>
      <c r="H37" s="42">
        <f t="shared" si="4"/>
        <v>0</v>
      </c>
      <c r="I37" s="42">
        <f t="shared" si="5"/>
        <v>0</v>
      </c>
      <c r="J37" s="42">
        <f t="shared" si="6"/>
        <v>0</v>
      </c>
      <c r="K37" s="42">
        <f t="shared" si="7"/>
        <v>0</v>
      </c>
      <c r="L37" s="42">
        <f t="shared" si="8"/>
        <v>0</v>
      </c>
      <c r="M37" s="32">
        <f t="shared" si="9"/>
        <v>0</v>
      </c>
      <c r="N37" s="33">
        <f t="shared" si="10"/>
        <v>0</v>
      </c>
      <c r="O37" s="43">
        <f t="shared" si="11"/>
        <v>0</v>
      </c>
      <c r="P37" s="35" t="s">
        <v>38</v>
      </c>
      <c r="Q37" s="35" t="s">
        <v>38</v>
      </c>
      <c r="R37" s="35" t="s">
        <v>38</v>
      </c>
      <c r="S37" s="35" t="s">
        <v>38</v>
      </c>
      <c r="T37" s="35" t="s">
        <v>38</v>
      </c>
      <c r="U37" s="35" t="s">
        <v>38</v>
      </c>
      <c r="V37" s="35" t="s">
        <v>38</v>
      </c>
      <c r="W37" s="35" t="s">
        <v>38</v>
      </c>
      <c r="X37" s="35" t="s">
        <v>38</v>
      </c>
      <c r="Y37" s="35" t="s">
        <v>38</v>
      </c>
      <c r="Z37" s="35" t="s">
        <v>38</v>
      </c>
      <c r="AA37" s="35" t="s">
        <v>38</v>
      </c>
      <c r="AB37" s="35" t="s">
        <v>38</v>
      </c>
      <c r="AC37" s="35" t="s">
        <v>38</v>
      </c>
      <c r="AD37" s="35" t="s">
        <v>38</v>
      </c>
      <c r="AE37" s="35" t="s">
        <v>38</v>
      </c>
      <c r="AF37" s="35" t="s">
        <v>38</v>
      </c>
      <c r="AG37" s="35" t="s">
        <v>38</v>
      </c>
      <c r="AH37" s="35" t="s">
        <v>38</v>
      </c>
      <c r="AI37" s="35" t="s">
        <v>38</v>
      </c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6"/>
      <c r="CY37" s="69"/>
      <c r="CZ37" s="36"/>
      <c r="DA37" s="69"/>
      <c r="DB37" s="36"/>
      <c r="DC37" s="69"/>
      <c r="DD37" s="36"/>
      <c r="DE37" s="69"/>
      <c r="DF37" s="36"/>
      <c r="DG37" s="69"/>
      <c r="DH37" s="36"/>
      <c r="DI37" s="69"/>
      <c r="DJ37" s="36"/>
      <c r="DK37" s="69"/>
      <c r="DL37" s="36"/>
      <c r="DM37" s="69"/>
      <c r="DN37" s="36"/>
      <c r="DO37" s="69"/>
      <c r="DP37" s="36"/>
      <c r="DQ37" s="69"/>
      <c r="DR37" s="36"/>
      <c r="DS37" s="69"/>
      <c r="DT37" s="36"/>
      <c r="DU37" s="69"/>
      <c r="DV37" s="37">
        <f t="shared" ref="DV37:DW37" si="41">CX37+CZ37+DB37+DD37+DF37+DH37+DJ37+DL37+DN37+DP37+DR37+DT37</f>
        <v>0</v>
      </c>
      <c r="DW37" s="38">
        <f t="shared" si="41"/>
        <v>0</v>
      </c>
    </row>
    <row r="38" spans="1:127" ht="15.75" customHeight="1">
      <c r="A38" s="40">
        <f t="shared" si="13"/>
        <v>30</v>
      </c>
      <c r="B38" s="26" t="str">
        <f>'BASE DE DATOS'!C39</f>
        <v>TI</v>
      </c>
      <c r="C38" s="27">
        <f>'BASE DE DATOS'!D39</f>
        <v>1022971433</v>
      </c>
      <c r="D38" s="28" t="str">
        <f>'BASE DE DATOS'!B39</f>
        <v>Julián Rodrigo Muñoz Celeita</v>
      </c>
      <c r="E38" s="29" t="s">
        <v>46</v>
      </c>
      <c r="F38" s="30" t="str">
        <f t="shared" si="2"/>
        <v/>
      </c>
      <c r="G38" s="41">
        <f t="shared" si="3"/>
        <v>20</v>
      </c>
      <c r="H38" s="42">
        <f t="shared" si="4"/>
        <v>0</v>
      </c>
      <c r="I38" s="42">
        <f t="shared" si="5"/>
        <v>0</v>
      </c>
      <c r="J38" s="42">
        <f t="shared" si="6"/>
        <v>0</v>
      </c>
      <c r="K38" s="42">
        <f t="shared" si="7"/>
        <v>0</v>
      </c>
      <c r="L38" s="42">
        <f t="shared" si="8"/>
        <v>0</v>
      </c>
      <c r="M38" s="32">
        <f t="shared" si="9"/>
        <v>0</v>
      </c>
      <c r="N38" s="33">
        <f t="shared" si="10"/>
        <v>0</v>
      </c>
      <c r="O38" s="43">
        <f t="shared" si="11"/>
        <v>0</v>
      </c>
      <c r="P38" s="35" t="s">
        <v>38</v>
      </c>
      <c r="Q38" s="35" t="s">
        <v>38</v>
      </c>
      <c r="R38" s="35" t="s">
        <v>38</v>
      </c>
      <c r="S38" s="35" t="s">
        <v>38</v>
      </c>
      <c r="T38" s="35" t="s">
        <v>38</v>
      </c>
      <c r="U38" s="35" t="s">
        <v>38</v>
      </c>
      <c r="V38" s="35" t="s">
        <v>38</v>
      </c>
      <c r="W38" s="35" t="s">
        <v>38</v>
      </c>
      <c r="X38" s="35" t="s">
        <v>38</v>
      </c>
      <c r="Y38" s="35" t="s">
        <v>38</v>
      </c>
      <c r="Z38" s="35" t="s">
        <v>38</v>
      </c>
      <c r="AA38" s="35" t="s">
        <v>38</v>
      </c>
      <c r="AB38" s="35" t="s">
        <v>38</v>
      </c>
      <c r="AC38" s="35" t="s">
        <v>38</v>
      </c>
      <c r="AD38" s="35" t="s">
        <v>38</v>
      </c>
      <c r="AE38" s="35" t="s">
        <v>38</v>
      </c>
      <c r="AF38" s="35" t="s">
        <v>38</v>
      </c>
      <c r="AG38" s="35" t="s">
        <v>38</v>
      </c>
      <c r="AH38" s="35" t="s">
        <v>38</v>
      </c>
      <c r="AI38" s="35" t="s">
        <v>38</v>
      </c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6"/>
      <c r="CY38" s="69"/>
      <c r="CZ38" s="36"/>
      <c r="DA38" s="69"/>
      <c r="DB38" s="36"/>
      <c r="DC38" s="69"/>
      <c r="DD38" s="36"/>
      <c r="DE38" s="69"/>
      <c r="DF38" s="36"/>
      <c r="DG38" s="69"/>
      <c r="DH38" s="36"/>
      <c r="DI38" s="69"/>
      <c r="DJ38" s="36"/>
      <c r="DK38" s="69"/>
      <c r="DL38" s="36"/>
      <c r="DM38" s="69"/>
      <c r="DN38" s="36"/>
      <c r="DO38" s="69"/>
      <c r="DP38" s="36"/>
      <c r="DQ38" s="69"/>
      <c r="DR38" s="36"/>
      <c r="DS38" s="69"/>
      <c r="DT38" s="36"/>
      <c r="DU38" s="69"/>
      <c r="DV38" s="37">
        <f t="shared" ref="DV38:DW38" si="42">CX38+CZ38+DB38+DD38+DF38+DH38+DJ38+DL38+DN38+DP38+DR38+DT38</f>
        <v>0</v>
      </c>
      <c r="DW38" s="38">
        <f t="shared" si="42"/>
        <v>0</v>
      </c>
    </row>
    <row r="39" spans="1:127" ht="15.75" customHeight="1">
      <c r="A39" s="40">
        <f t="shared" si="13"/>
        <v>31</v>
      </c>
      <c r="B39" s="26" t="str">
        <f>'BASE DE DATOS'!C40</f>
        <v>TI</v>
      </c>
      <c r="C39" s="27">
        <f>'BASE DE DATOS'!D40</f>
        <v>1012921788</v>
      </c>
      <c r="D39" s="28" t="str">
        <f>'BASE DE DATOS'!B40</f>
        <v>José Luis Ochoa Bayona</v>
      </c>
      <c r="E39" s="29" t="s">
        <v>46</v>
      </c>
      <c r="F39" s="30" t="str">
        <f t="shared" si="2"/>
        <v/>
      </c>
      <c r="G39" s="41">
        <f t="shared" si="3"/>
        <v>20</v>
      </c>
      <c r="H39" s="42">
        <f t="shared" si="4"/>
        <v>0</v>
      </c>
      <c r="I39" s="42">
        <f t="shared" si="5"/>
        <v>0</v>
      </c>
      <c r="J39" s="42">
        <f t="shared" si="6"/>
        <v>0</v>
      </c>
      <c r="K39" s="42">
        <f t="shared" si="7"/>
        <v>0</v>
      </c>
      <c r="L39" s="42">
        <f t="shared" si="8"/>
        <v>0</v>
      </c>
      <c r="M39" s="32">
        <f t="shared" si="9"/>
        <v>0</v>
      </c>
      <c r="N39" s="33">
        <f t="shared" si="10"/>
        <v>0</v>
      </c>
      <c r="O39" s="43">
        <f t="shared" si="11"/>
        <v>0</v>
      </c>
      <c r="P39" s="35" t="s">
        <v>38</v>
      </c>
      <c r="Q39" s="35" t="s">
        <v>38</v>
      </c>
      <c r="R39" s="35" t="s">
        <v>38</v>
      </c>
      <c r="S39" s="35" t="s">
        <v>38</v>
      </c>
      <c r="T39" s="35" t="s">
        <v>38</v>
      </c>
      <c r="U39" s="35" t="s">
        <v>38</v>
      </c>
      <c r="V39" s="35" t="s">
        <v>38</v>
      </c>
      <c r="W39" s="35" t="s">
        <v>38</v>
      </c>
      <c r="X39" s="35" t="s">
        <v>38</v>
      </c>
      <c r="Y39" s="35" t="s">
        <v>38</v>
      </c>
      <c r="Z39" s="35" t="s">
        <v>38</v>
      </c>
      <c r="AA39" s="35" t="s">
        <v>38</v>
      </c>
      <c r="AB39" s="35" t="s">
        <v>38</v>
      </c>
      <c r="AC39" s="35" t="s">
        <v>38</v>
      </c>
      <c r="AD39" s="35" t="s">
        <v>38</v>
      </c>
      <c r="AE39" s="35" t="s">
        <v>38</v>
      </c>
      <c r="AF39" s="35" t="s">
        <v>38</v>
      </c>
      <c r="AG39" s="35" t="s">
        <v>38</v>
      </c>
      <c r="AH39" s="35" t="s">
        <v>38</v>
      </c>
      <c r="AI39" s="35" t="s">
        <v>38</v>
      </c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6"/>
      <c r="CY39" s="69"/>
      <c r="CZ39" s="36"/>
      <c r="DA39" s="69"/>
      <c r="DB39" s="36"/>
      <c r="DC39" s="69"/>
      <c r="DD39" s="36"/>
      <c r="DE39" s="69"/>
      <c r="DF39" s="36"/>
      <c r="DG39" s="69"/>
      <c r="DH39" s="36"/>
      <c r="DI39" s="69"/>
      <c r="DJ39" s="36"/>
      <c r="DK39" s="69"/>
      <c r="DL39" s="36"/>
      <c r="DM39" s="69"/>
      <c r="DN39" s="36"/>
      <c r="DO39" s="69"/>
      <c r="DP39" s="36"/>
      <c r="DQ39" s="69"/>
      <c r="DR39" s="36"/>
      <c r="DS39" s="69"/>
      <c r="DT39" s="36"/>
      <c r="DU39" s="69"/>
      <c r="DV39" s="37">
        <f t="shared" ref="DV39:DW39" si="43">CX39+CZ39+DB39+DD39+DF39+DH39+DJ39+DL39+DN39+DP39+DR39+DT39</f>
        <v>0</v>
      </c>
      <c r="DW39" s="38">
        <f t="shared" si="43"/>
        <v>0</v>
      </c>
    </row>
    <row r="40" spans="1:127" ht="15.75" customHeight="1">
      <c r="A40" s="40">
        <f t="shared" si="13"/>
        <v>32</v>
      </c>
      <c r="B40" s="26" t="str">
        <f>'BASE DE DATOS'!C41</f>
        <v>TI</v>
      </c>
      <c r="C40" s="27">
        <f>'BASE DE DATOS'!D41</f>
        <v>1188215179</v>
      </c>
      <c r="D40" s="28" t="str">
        <f>'BASE DE DATOS'!B41</f>
        <v>Gabriela Quinchía Torres</v>
      </c>
      <c r="E40" s="29" t="s">
        <v>46</v>
      </c>
      <c r="F40" s="30" t="str">
        <f t="shared" si="2"/>
        <v>CON FALTAS</v>
      </c>
      <c r="G40" s="41">
        <f t="shared" si="3"/>
        <v>19</v>
      </c>
      <c r="H40" s="42">
        <f t="shared" si="4"/>
        <v>0</v>
      </c>
      <c r="I40" s="42">
        <f t="shared" si="5"/>
        <v>1</v>
      </c>
      <c r="J40" s="42">
        <f t="shared" si="6"/>
        <v>0</v>
      </c>
      <c r="K40" s="42">
        <f t="shared" si="7"/>
        <v>0</v>
      </c>
      <c r="L40" s="42">
        <f t="shared" si="8"/>
        <v>0</v>
      </c>
      <c r="M40" s="32">
        <f t="shared" si="9"/>
        <v>0</v>
      </c>
      <c r="N40" s="33">
        <f t="shared" si="10"/>
        <v>0</v>
      </c>
      <c r="O40" s="43">
        <f t="shared" si="11"/>
        <v>0.05</v>
      </c>
      <c r="P40" s="35" t="s">
        <v>38</v>
      </c>
      <c r="Q40" s="35" t="s">
        <v>38</v>
      </c>
      <c r="R40" s="35" t="s">
        <v>38</v>
      </c>
      <c r="S40" s="35" t="s">
        <v>38</v>
      </c>
      <c r="T40" s="35" t="s">
        <v>38</v>
      </c>
      <c r="U40" s="35" t="s">
        <v>38</v>
      </c>
      <c r="V40" s="35" t="s">
        <v>38</v>
      </c>
      <c r="W40" s="35" t="s">
        <v>38</v>
      </c>
      <c r="X40" s="35" t="s">
        <v>38</v>
      </c>
      <c r="Y40" s="35" t="s">
        <v>38</v>
      </c>
      <c r="Z40" s="35" t="s">
        <v>38</v>
      </c>
      <c r="AA40" s="35" t="s">
        <v>38</v>
      </c>
      <c r="AB40" s="35" t="s">
        <v>38</v>
      </c>
      <c r="AC40" s="35" t="s">
        <v>38</v>
      </c>
      <c r="AD40" s="35" t="s">
        <v>11</v>
      </c>
      <c r="AE40" s="35" t="s">
        <v>38</v>
      </c>
      <c r="AF40" s="35" t="s">
        <v>38</v>
      </c>
      <c r="AG40" s="35" t="s">
        <v>38</v>
      </c>
      <c r="AH40" s="35" t="s">
        <v>38</v>
      </c>
      <c r="AI40" s="35" t="s">
        <v>38</v>
      </c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6"/>
      <c r="CY40" s="69"/>
      <c r="CZ40" s="36"/>
      <c r="DA40" s="69"/>
      <c r="DB40" s="36"/>
      <c r="DC40" s="69"/>
      <c r="DD40" s="36"/>
      <c r="DE40" s="69"/>
      <c r="DF40" s="36"/>
      <c r="DG40" s="69"/>
      <c r="DH40" s="36"/>
      <c r="DI40" s="69"/>
      <c r="DJ40" s="36"/>
      <c r="DK40" s="69"/>
      <c r="DL40" s="36"/>
      <c r="DM40" s="69"/>
      <c r="DN40" s="36"/>
      <c r="DO40" s="69"/>
      <c r="DP40" s="36"/>
      <c r="DQ40" s="69"/>
      <c r="DR40" s="36"/>
      <c r="DS40" s="69"/>
      <c r="DT40" s="36"/>
      <c r="DU40" s="69"/>
      <c r="DV40" s="37">
        <f t="shared" ref="DV40:DW40" si="44">CX40+CZ40+DB40+DD40+DF40+DH40+DJ40+DL40+DN40+DP40+DR40+DT40</f>
        <v>0</v>
      </c>
      <c r="DW40" s="38">
        <f t="shared" si="44"/>
        <v>0</v>
      </c>
    </row>
    <row r="41" spans="1:127" ht="15.75" customHeight="1">
      <c r="A41" s="40">
        <f t="shared" si="13"/>
        <v>33</v>
      </c>
      <c r="B41" s="26" t="str">
        <f>'BASE DE DATOS'!C42</f>
        <v>TI</v>
      </c>
      <c r="C41" s="27">
        <f>'BASE DE DATOS'!D42</f>
        <v>1033733815</v>
      </c>
      <c r="D41" s="28" t="str">
        <f>'BASE DE DATOS'!B42</f>
        <v>Tania Valentina Ramos Villada</v>
      </c>
      <c r="E41" s="29" t="s">
        <v>46</v>
      </c>
      <c r="F41" s="30" t="str">
        <f t="shared" si="2"/>
        <v/>
      </c>
      <c r="G41" s="41">
        <f t="shared" si="3"/>
        <v>20</v>
      </c>
      <c r="H41" s="42">
        <f t="shared" si="4"/>
        <v>0</v>
      </c>
      <c r="I41" s="42">
        <f t="shared" si="5"/>
        <v>0</v>
      </c>
      <c r="J41" s="42">
        <f t="shared" si="6"/>
        <v>0</v>
      </c>
      <c r="K41" s="42">
        <f t="shared" si="7"/>
        <v>0</v>
      </c>
      <c r="L41" s="42">
        <f t="shared" si="8"/>
        <v>0</v>
      </c>
      <c r="M41" s="32">
        <f t="shared" si="9"/>
        <v>0</v>
      </c>
      <c r="N41" s="33">
        <f t="shared" si="10"/>
        <v>0</v>
      </c>
      <c r="O41" s="43">
        <f t="shared" si="11"/>
        <v>0</v>
      </c>
      <c r="P41" s="35" t="s">
        <v>38</v>
      </c>
      <c r="Q41" s="35" t="s">
        <v>38</v>
      </c>
      <c r="R41" s="35" t="s">
        <v>38</v>
      </c>
      <c r="S41" s="35" t="s">
        <v>38</v>
      </c>
      <c r="T41" s="35" t="s">
        <v>38</v>
      </c>
      <c r="U41" s="35" t="s">
        <v>38</v>
      </c>
      <c r="V41" s="35" t="s">
        <v>38</v>
      </c>
      <c r="W41" s="35" t="s">
        <v>38</v>
      </c>
      <c r="X41" s="35" t="s">
        <v>38</v>
      </c>
      <c r="Y41" s="35" t="s">
        <v>38</v>
      </c>
      <c r="Z41" s="35" t="s">
        <v>38</v>
      </c>
      <c r="AA41" s="35" t="s">
        <v>38</v>
      </c>
      <c r="AB41" s="35" t="s">
        <v>38</v>
      </c>
      <c r="AC41" s="35" t="s">
        <v>38</v>
      </c>
      <c r="AD41" s="35" t="s">
        <v>38</v>
      </c>
      <c r="AE41" s="35" t="s">
        <v>38</v>
      </c>
      <c r="AF41" s="35" t="s">
        <v>38</v>
      </c>
      <c r="AG41" s="35" t="s">
        <v>38</v>
      </c>
      <c r="AH41" s="35" t="s">
        <v>38</v>
      </c>
      <c r="AI41" s="35" t="s">
        <v>38</v>
      </c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6"/>
      <c r="CY41" s="69"/>
      <c r="CZ41" s="36"/>
      <c r="DA41" s="69"/>
      <c r="DB41" s="36"/>
      <c r="DC41" s="69"/>
      <c r="DD41" s="36"/>
      <c r="DE41" s="69"/>
      <c r="DF41" s="36"/>
      <c r="DG41" s="69"/>
      <c r="DH41" s="36"/>
      <c r="DI41" s="69"/>
      <c r="DJ41" s="36"/>
      <c r="DK41" s="69"/>
      <c r="DL41" s="36"/>
      <c r="DM41" s="69"/>
      <c r="DN41" s="36"/>
      <c r="DO41" s="69"/>
      <c r="DP41" s="36"/>
      <c r="DQ41" s="69"/>
      <c r="DR41" s="36"/>
      <c r="DS41" s="69"/>
      <c r="DT41" s="36"/>
      <c r="DU41" s="69"/>
      <c r="DV41" s="37">
        <f t="shared" ref="DV41:DW41" si="45">CX41+CZ41+DB41+DD41+DF41+DH41+DJ41+DL41+DN41+DP41+DR41+DT41</f>
        <v>0</v>
      </c>
      <c r="DW41" s="38">
        <f t="shared" si="45"/>
        <v>0</v>
      </c>
    </row>
    <row r="42" spans="1:127" ht="15.75" customHeight="1">
      <c r="A42" s="40">
        <f t="shared" si="13"/>
        <v>34</v>
      </c>
      <c r="B42" s="26" t="str">
        <f>'BASE DE DATOS'!C43</f>
        <v>TI</v>
      </c>
      <c r="C42" s="27">
        <f>'BASE DE DATOS'!D43</f>
        <v>1025066944</v>
      </c>
      <c r="D42" s="28" t="str">
        <f>'BASE DE DATOS'!B43</f>
        <v>Andrés Rodríguez Salinas</v>
      </c>
      <c r="E42" s="29" t="s">
        <v>46</v>
      </c>
      <c r="F42" s="30" t="str">
        <f t="shared" si="2"/>
        <v/>
      </c>
      <c r="G42" s="41">
        <f t="shared" si="3"/>
        <v>18</v>
      </c>
      <c r="H42" s="42">
        <f t="shared" si="4"/>
        <v>2</v>
      </c>
      <c r="I42" s="42">
        <f t="shared" si="5"/>
        <v>0</v>
      </c>
      <c r="J42" s="42">
        <f t="shared" si="6"/>
        <v>0</v>
      </c>
      <c r="K42" s="42">
        <f t="shared" si="7"/>
        <v>0</v>
      </c>
      <c r="L42" s="42">
        <f t="shared" si="8"/>
        <v>0</v>
      </c>
      <c r="M42" s="32">
        <f t="shared" si="9"/>
        <v>0</v>
      </c>
      <c r="N42" s="33">
        <f t="shared" si="10"/>
        <v>0</v>
      </c>
      <c r="O42" s="43">
        <f t="shared" si="11"/>
        <v>0.1</v>
      </c>
      <c r="P42" s="35" t="s">
        <v>38</v>
      </c>
      <c r="Q42" s="35" t="s">
        <v>38</v>
      </c>
      <c r="R42" s="35" t="s">
        <v>38</v>
      </c>
      <c r="S42" s="35" t="s">
        <v>38</v>
      </c>
      <c r="T42" s="35" t="s">
        <v>38</v>
      </c>
      <c r="U42" s="35" t="s">
        <v>38</v>
      </c>
      <c r="V42" s="35" t="s">
        <v>38</v>
      </c>
      <c r="W42" s="35" t="s">
        <v>38</v>
      </c>
      <c r="X42" s="35" t="s">
        <v>38</v>
      </c>
      <c r="Y42" s="35" t="s">
        <v>38</v>
      </c>
      <c r="Z42" s="35" t="s">
        <v>38</v>
      </c>
      <c r="AA42" s="35" t="s">
        <v>38</v>
      </c>
      <c r="AB42" s="35" t="s">
        <v>9</v>
      </c>
      <c r="AC42" s="35" t="s">
        <v>9</v>
      </c>
      <c r="AD42" s="35" t="s">
        <v>38</v>
      </c>
      <c r="AE42" s="35" t="s">
        <v>38</v>
      </c>
      <c r="AF42" s="35" t="s">
        <v>38</v>
      </c>
      <c r="AG42" s="35" t="s">
        <v>38</v>
      </c>
      <c r="AH42" s="35" t="s">
        <v>38</v>
      </c>
      <c r="AI42" s="35" t="s">
        <v>38</v>
      </c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6"/>
      <c r="CY42" s="69"/>
      <c r="CZ42" s="36"/>
      <c r="DA42" s="69"/>
      <c r="DB42" s="36"/>
      <c r="DC42" s="69"/>
      <c r="DD42" s="36"/>
      <c r="DE42" s="69"/>
      <c r="DF42" s="36"/>
      <c r="DG42" s="69"/>
      <c r="DH42" s="36"/>
      <c r="DI42" s="69"/>
      <c r="DJ42" s="36"/>
      <c r="DK42" s="69"/>
      <c r="DL42" s="36"/>
      <c r="DM42" s="69"/>
      <c r="DN42" s="36"/>
      <c r="DO42" s="69"/>
      <c r="DP42" s="36"/>
      <c r="DQ42" s="69"/>
      <c r="DR42" s="36"/>
      <c r="DS42" s="69"/>
      <c r="DT42" s="36"/>
      <c r="DU42" s="69"/>
      <c r="DV42" s="37">
        <f t="shared" ref="DV42:DW42" si="46">CX42+CZ42+DB42+DD42+DF42+DH42+DJ42+DL42+DN42+DP42+DR42+DT42</f>
        <v>0</v>
      </c>
      <c r="DW42" s="38">
        <f t="shared" si="46"/>
        <v>0</v>
      </c>
    </row>
    <row r="43" spans="1:127" ht="15.75" customHeight="1">
      <c r="A43" s="40">
        <f t="shared" si="13"/>
        <v>35</v>
      </c>
      <c r="B43" s="81" t="str">
        <f>'BASE DE DATOS'!C44</f>
        <v>TI</v>
      </c>
      <c r="C43" s="27">
        <f>'BASE DE DATOS'!D44</f>
        <v>1033749725</v>
      </c>
      <c r="D43" s="28" t="str">
        <f>'BASE DE DATOS'!B44</f>
        <v>Andrés Felipe Romero Rojas</v>
      </c>
      <c r="E43" s="29" t="s">
        <v>46</v>
      </c>
      <c r="F43" s="30" t="str">
        <f t="shared" si="2"/>
        <v/>
      </c>
      <c r="G43" s="41">
        <f t="shared" si="3"/>
        <v>20</v>
      </c>
      <c r="H43" s="42">
        <f t="shared" si="4"/>
        <v>0</v>
      </c>
      <c r="I43" s="42">
        <f t="shared" si="5"/>
        <v>0</v>
      </c>
      <c r="J43" s="42">
        <f t="shared" si="6"/>
        <v>0</v>
      </c>
      <c r="K43" s="42">
        <f t="shared" si="7"/>
        <v>0</v>
      </c>
      <c r="L43" s="42">
        <f t="shared" si="8"/>
        <v>0</v>
      </c>
      <c r="M43" s="32">
        <f t="shared" si="9"/>
        <v>0</v>
      </c>
      <c r="N43" s="33">
        <f t="shared" si="10"/>
        <v>0</v>
      </c>
      <c r="O43" s="99">
        <f t="shared" si="11"/>
        <v>0</v>
      </c>
      <c r="P43" s="35" t="s">
        <v>38</v>
      </c>
      <c r="Q43" s="35" t="s">
        <v>38</v>
      </c>
      <c r="R43" s="35" t="s">
        <v>38</v>
      </c>
      <c r="S43" s="35" t="s">
        <v>38</v>
      </c>
      <c r="T43" s="35" t="s">
        <v>38</v>
      </c>
      <c r="U43" s="35" t="s">
        <v>38</v>
      </c>
      <c r="V43" s="35" t="s">
        <v>38</v>
      </c>
      <c r="W43" s="35" t="s">
        <v>38</v>
      </c>
      <c r="X43" s="35" t="s">
        <v>38</v>
      </c>
      <c r="Y43" s="35" t="s">
        <v>38</v>
      </c>
      <c r="Z43" s="35" t="s">
        <v>38</v>
      </c>
      <c r="AA43" s="35" t="s">
        <v>38</v>
      </c>
      <c r="AB43" s="35" t="s">
        <v>38</v>
      </c>
      <c r="AC43" s="35" t="s">
        <v>38</v>
      </c>
      <c r="AD43" s="35" t="s">
        <v>38</v>
      </c>
      <c r="AE43" s="35" t="s">
        <v>38</v>
      </c>
      <c r="AF43" s="35" t="s">
        <v>38</v>
      </c>
      <c r="AG43" s="35" t="s">
        <v>38</v>
      </c>
      <c r="AH43" s="35" t="s">
        <v>38</v>
      </c>
      <c r="AI43" s="35" t="s">
        <v>38</v>
      </c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6"/>
      <c r="CY43" s="69"/>
      <c r="CZ43" s="36"/>
      <c r="DA43" s="69"/>
      <c r="DB43" s="36"/>
      <c r="DC43" s="69"/>
      <c r="DD43" s="36"/>
      <c r="DE43" s="69"/>
      <c r="DF43" s="36"/>
      <c r="DG43" s="69"/>
      <c r="DH43" s="36"/>
      <c r="DI43" s="69"/>
      <c r="DJ43" s="36"/>
      <c r="DK43" s="69"/>
      <c r="DL43" s="36"/>
      <c r="DM43" s="69"/>
      <c r="DN43" s="36"/>
      <c r="DO43" s="69"/>
      <c r="DP43" s="36"/>
      <c r="DQ43" s="69"/>
      <c r="DR43" s="36"/>
      <c r="DS43" s="69"/>
      <c r="DT43" s="36"/>
      <c r="DU43" s="69"/>
      <c r="DV43" s="37">
        <f t="shared" ref="DV43:DW43" si="47">CX43+CZ43+DB43+DD43+DF43+DH43+DJ43+DL43+DN43+DP43+DR43+DT43</f>
        <v>0</v>
      </c>
      <c r="DW43" s="38">
        <f t="shared" si="47"/>
        <v>0</v>
      </c>
    </row>
    <row r="44" spans="1:127" ht="15.75" customHeight="1">
      <c r="A44" s="93">
        <f t="shared" si="13"/>
        <v>36</v>
      </c>
      <c r="B44" s="83" t="str">
        <f>'BASE DE DATOS'!C45</f>
        <v>TI</v>
      </c>
      <c r="C44" s="95">
        <f>'BASE DE DATOS'!D45</f>
        <v>1018447155</v>
      </c>
      <c r="D44" s="28" t="str">
        <f>'BASE DE DATOS'!B45</f>
        <v>Sara Sofia Romero Trujillo</v>
      </c>
      <c r="E44" s="29" t="s">
        <v>46</v>
      </c>
      <c r="F44" s="82" t="str">
        <f t="shared" si="2"/>
        <v/>
      </c>
      <c r="G44" s="84">
        <f t="shared" si="3"/>
        <v>20</v>
      </c>
      <c r="H44" s="85">
        <f t="shared" si="4"/>
        <v>0</v>
      </c>
      <c r="I44" s="85">
        <f t="shared" si="5"/>
        <v>0</v>
      </c>
      <c r="J44" s="85">
        <f t="shared" si="6"/>
        <v>0</v>
      </c>
      <c r="K44" s="85">
        <f t="shared" si="7"/>
        <v>0</v>
      </c>
      <c r="L44" s="85">
        <f t="shared" si="8"/>
        <v>0</v>
      </c>
      <c r="M44" s="86">
        <f t="shared" si="9"/>
        <v>0</v>
      </c>
      <c r="N44" s="87">
        <f t="shared" si="10"/>
        <v>0</v>
      </c>
      <c r="O44" s="89">
        <f t="shared" si="11"/>
        <v>0</v>
      </c>
      <c r="P44" s="35" t="s">
        <v>38</v>
      </c>
      <c r="Q44" s="35" t="s">
        <v>38</v>
      </c>
      <c r="R44" s="35" t="s">
        <v>38</v>
      </c>
      <c r="S44" s="35" t="s">
        <v>38</v>
      </c>
      <c r="T44" s="35" t="s">
        <v>38</v>
      </c>
      <c r="U44" s="35" t="s">
        <v>38</v>
      </c>
      <c r="V44" s="35" t="s">
        <v>38</v>
      </c>
      <c r="W44" s="35" t="s">
        <v>38</v>
      </c>
      <c r="X44" s="35" t="s">
        <v>38</v>
      </c>
      <c r="Y44" s="35" t="s">
        <v>38</v>
      </c>
      <c r="Z44" s="35" t="s">
        <v>38</v>
      </c>
      <c r="AA44" s="35" t="s">
        <v>38</v>
      </c>
      <c r="AB44" s="35" t="s">
        <v>38</v>
      </c>
      <c r="AC44" s="35" t="s">
        <v>38</v>
      </c>
      <c r="AD44" s="35" t="s">
        <v>38</v>
      </c>
      <c r="AE44" s="35" t="s">
        <v>38</v>
      </c>
      <c r="AF44" s="35" t="s">
        <v>38</v>
      </c>
      <c r="AG44" s="35" t="s">
        <v>38</v>
      </c>
      <c r="AH44" s="35" t="s">
        <v>38</v>
      </c>
      <c r="AI44" s="35" t="s">
        <v>38</v>
      </c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6"/>
      <c r="CY44" s="69"/>
      <c r="CZ44" s="36"/>
      <c r="DA44" s="69"/>
      <c r="DB44" s="36"/>
      <c r="DC44" s="69"/>
      <c r="DD44" s="36"/>
      <c r="DE44" s="69"/>
      <c r="DF44" s="36"/>
      <c r="DG44" s="69"/>
      <c r="DH44" s="36"/>
      <c r="DI44" s="69"/>
      <c r="DJ44" s="36"/>
      <c r="DK44" s="69"/>
      <c r="DL44" s="36"/>
      <c r="DM44" s="69"/>
      <c r="DN44" s="36"/>
      <c r="DO44" s="69"/>
      <c r="DP44" s="36"/>
      <c r="DQ44" s="69"/>
      <c r="DR44" s="36"/>
      <c r="DS44" s="69"/>
      <c r="DT44" s="36"/>
      <c r="DU44" s="69"/>
      <c r="DV44" s="37">
        <f t="shared" ref="DV44:DW44" si="48">CX44+CZ44+DB44+DD44+DF44+DH44+DJ44+DL44+DN44+DP44+DR44+DT44</f>
        <v>0</v>
      </c>
      <c r="DW44" s="38">
        <f t="shared" si="48"/>
        <v>0</v>
      </c>
    </row>
    <row r="45" spans="1:127" ht="15.75" customHeight="1">
      <c r="A45" s="94">
        <f t="shared" si="13"/>
        <v>37</v>
      </c>
      <c r="B45" s="83" t="str">
        <f>'BASE DE DATOS'!C46</f>
        <v>TI</v>
      </c>
      <c r="C45" s="95">
        <f>'BASE DE DATOS'!D46</f>
        <v>1140923124</v>
      </c>
      <c r="D45" s="28" t="str">
        <f>'BASE DE DATOS'!B46</f>
        <v>Erick Santiago Salazar Rojuela</v>
      </c>
      <c r="E45" s="29" t="s">
        <v>46</v>
      </c>
      <c r="F45" s="83"/>
      <c r="G45" s="84">
        <f t="shared" ref="G45:G49" si="49">COUNTIF(P45:CR45,"A")</f>
        <v>19</v>
      </c>
      <c r="H45" s="85">
        <f t="shared" ref="H45:H49" si="50">COUNTIF(P45:CR45,"CE")</f>
        <v>1</v>
      </c>
      <c r="I45" s="85">
        <f t="shared" ref="I45:I49" si="51">COUNTIF(P45:CR45,"SE")</f>
        <v>0</v>
      </c>
      <c r="J45" s="85">
        <f t="shared" ref="J45:J49" si="52">COUNTIF(P45:CR45,"INC")</f>
        <v>0</v>
      </c>
      <c r="K45" s="85">
        <f t="shared" ref="K45:K49" si="53">COUNTIF(P45:CR45,"LIC")</f>
        <v>0</v>
      </c>
      <c r="L45" s="85">
        <f t="shared" ref="L45:L49" si="54">COUNTIF(P45:CR45,"CLM")</f>
        <v>0</v>
      </c>
      <c r="M45" s="86">
        <f t="shared" ref="M45:M49" si="55">COUNTIF(P45:IA45,"SFF")</f>
        <v>0</v>
      </c>
      <c r="N45" s="87">
        <f t="shared" ref="N45:N49" si="56">COUNTIF(P45:CR45,"RET")</f>
        <v>0</v>
      </c>
      <c r="O45" s="89">
        <f t="shared" ref="O45:O49" si="57">IFERROR(SUM(H45:K45)/SUM(G45:K45)," ")</f>
        <v>0.05</v>
      </c>
      <c r="P45" s="35" t="s">
        <v>38</v>
      </c>
      <c r="Q45" s="35" t="s">
        <v>38</v>
      </c>
      <c r="R45" s="35" t="s">
        <v>38</v>
      </c>
      <c r="S45" s="35" t="s">
        <v>38</v>
      </c>
      <c r="T45" s="35" t="s">
        <v>38</v>
      </c>
      <c r="U45" s="35" t="s">
        <v>38</v>
      </c>
      <c r="V45" s="35" t="s">
        <v>38</v>
      </c>
      <c r="W45" s="35" t="s">
        <v>38</v>
      </c>
      <c r="X45" s="35" t="s">
        <v>38</v>
      </c>
      <c r="Y45" s="35" t="s">
        <v>38</v>
      </c>
      <c r="Z45" s="35" t="s">
        <v>38</v>
      </c>
      <c r="AA45" s="35" t="s">
        <v>38</v>
      </c>
      <c r="AB45" s="35" t="s">
        <v>9</v>
      </c>
      <c r="AC45" s="35" t="s">
        <v>38</v>
      </c>
      <c r="AD45" s="35" t="s">
        <v>38</v>
      </c>
      <c r="AE45" s="35" t="s">
        <v>38</v>
      </c>
      <c r="AF45" s="35" t="s">
        <v>38</v>
      </c>
      <c r="AG45" s="35" t="s">
        <v>38</v>
      </c>
      <c r="AH45" s="35" t="s">
        <v>38</v>
      </c>
      <c r="AI45" s="35" t="s">
        <v>38</v>
      </c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6"/>
      <c r="CY45" s="69"/>
      <c r="CZ45" s="36"/>
      <c r="DA45" s="69"/>
      <c r="DB45" s="36"/>
      <c r="DC45" s="69"/>
      <c r="DD45" s="36"/>
      <c r="DE45" s="69"/>
      <c r="DF45" s="36"/>
      <c r="DG45" s="69"/>
      <c r="DH45" s="36"/>
      <c r="DI45" s="69"/>
      <c r="DJ45" s="36"/>
      <c r="DK45" s="69"/>
      <c r="DL45" s="36"/>
      <c r="DM45" s="69"/>
      <c r="DN45" s="36"/>
      <c r="DO45" s="69"/>
      <c r="DP45" s="36"/>
      <c r="DQ45" s="69"/>
      <c r="DR45" s="36"/>
      <c r="DS45" s="69"/>
      <c r="DT45" s="36"/>
      <c r="DU45" s="69"/>
      <c r="DV45" s="37"/>
      <c r="DW45" s="38"/>
    </row>
    <row r="46" spans="1:127" ht="15.75" customHeight="1">
      <c r="A46" s="94">
        <f t="shared" si="13"/>
        <v>38</v>
      </c>
      <c r="B46" s="83" t="str">
        <f>'BASE DE DATOS'!C47</f>
        <v>TI</v>
      </c>
      <c r="C46" s="95">
        <f>'BASE DE DATOS'!D47</f>
        <v>1022980809</v>
      </c>
      <c r="D46" s="28" t="str">
        <f>'BASE DE DATOS'!B47</f>
        <v>Samuel Alejandro Sanabria Montoya</v>
      </c>
      <c r="E46" s="29" t="s">
        <v>46</v>
      </c>
      <c r="F46" s="83"/>
      <c r="G46" s="84">
        <f t="shared" si="49"/>
        <v>20</v>
      </c>
      <c r="H46" s="85">
        <f t="shared" si="50"/>
        <v>0</v>
      </c>
      <c r="I46" s="85">
        <f t="shared" si="51"/>
        <v>0</v>
      </c>
      <c r="J46" s="85">
        <f t="shared" si="52"/>
        <v>0</v>
      </c>
      <c r="K46" s="85">
        <f t="shared" si="53"/>
        <v>0</v>
      </c>
      <c r="L46" s="85">
        <f t="shared" si="54"/>
        <v>0</v>
      </c>
      <c r="M46" s="86">
        <f t="shared" si="55"/>
        <v>0</v>
      </c>
      <c r="N46" s="87">
        <f t="shared" si="56"/>
        <v>0</v>
      </c>
      <c r="O46" s="89">
        <f t="shared" si="57"/>
        <v>0</v>
      </c>
      <c r="P46" s="35" t="s">
        <v>38</v>
      </c>
      <c r="Q46" s="35" t="s">
        <v>38</v>
      </c>
      <c r="R46" s="35" t="s">
        <v>38</v>
      </c>
      <c r="S46" s="35" t="s">
        <v>38</v>
      </c>
      <c r="T46" s="35" t="s">
        <v>38</v>
      </c>
      <c r="U46" s="35" t="s">
        <v>38</v>
      </c>
      <c r="V46" s="35" t="s">
        <v>38</v>
      </c>
      <c r="W46" s="35" t="s">
        <v>38</v>
      </c>
      <c r="X46" s="35" t="s">
        <v>38</v>
      </c>
      <c r="Y46" s="35" t="s">
        <v>38</v>
      </c>
      <c r="Z46" s="35" t="s">
        <v>38</v>
      </c>
      <c r="AA46" s="35" t="s">
        <v>38</v>
      </c>
      <c r="AB46" s="35" t="s">
        <v>38</v>
      </c>
      <c r="AC46" s="35" t="s">
        <v>38</v>
      </c>
      <c r="AD46" s="35" t="s">
        <v>38</v>
      </c>
      <c r="AE46" s="35" t="s">
        <v>38</v>
      </c>
      <c r="AF46" s="35" t="s">
        <v>38</v>
      </c>
      <c r="AG46" s="35" t="s">
        <v>38</v>
      </c>
      <c r="AH46" s="35" t="s">
        <v>38</v>
      </c>
      <c r="AI46" s="35" t="s">
        <v>38</v>
      </c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6"/>
      <c r="CY46" s="69"/>
      <c r="CZ46" s="36"/>
      <c r="DA46" s="69"/>
      <c r="DB46" s="36"/>
      <c r="DC46" s="69"/>
      <c r="DD46" s="36"/>
      <c r="DE46" s="69"/>
      <c r="DF46" s="36"/>
      <c r="DG46" s="69"/>
      <c r="DH46" s="36"/>
      <c r="DI46" s="69"/>
      <c r="DJ46" s="36"/>
      <c r="DK46" s="69"/>
      <c r="DL46" s="36"/>
      <c r="DM46" s="69"/>
      <c r="DN46" s="36"/>
      <c r="DO46" s="69"/>
      <c r="DP46" s="36"/>
      <c r="DQ46" s="69"/>
      <c r="DR46" s="36"/>
      <c r="DS46" s="69"/>
      <c r="DT46" s="36"/>
      <c r="DU46" s="69"/>
      <c r="DV46" s="37"/>
      <c r="DW46" s="38"/>
    </row>
    <row r="47" spans="1:127" ht="15.75" customHeight="1">
      <c r="A47" s="94">
        <f t="shared" si="13"/>
        <v>39</v>
      </c>
      <c r="B47" s="83" t="str">
        <f>'BASE DE DATOS'!C48</f>
        <v>TI</v>
      </c>
      <c r="C47" s="95">
        <f>'BASE DE DATOS'!D48</f>
        <v>1016913212</v>
      </c>
      <c r="D47" s="28" t="str">
        <f>'BASE DE DATOS'!B48</f>
        <v>Samuel Alejandro Tapiero Márquez</v>
      </c>
      <c r="E47" s="29" t="s">
        <v>46</v>
      </c>
      <c r="F47" s="83"/>
      <c r="G47" s="84">
        <f t="shared" si="49"/>
        <v>19</v>
      </c>
      <c r="H47" s="85">
        <f t="shared" si="50"/>
        <v>1</v>
      </c>
      <c r="I47" s="85">
        <f t="shared" si="51"/>
        <v>0</v>
      </c>
      <c r="J47" s="85">
        <f t="shared" si="52"/>
        <v>0</v>
      </c>
      <c r="K47" s="85">
        <f t="shared" si="53"/>
        <v>0</v>
      </c>
      <c r="L47" s="85">
        <f t="shared" si="54"/>
        <v>0</v>
      </c>
      <c r="M47" s="86">
        <f t="shared" si="55"/>
        <v>0</v>
      </c>
      <c r="N47" s="87">
        <f t="shared" si="56"/>
        <v>0</v>
      </c>
      <c r="O47" s="89">
        <f t="shared" si="57"/>
        <v>0.05</v>
      </c>
      <c r="P47" s="35" t="s">
        <v>38</v>
      </c>
      <c r="Q47" s="35" t="s">
        <v>38</v>
      </c>
      <c r="R47" s="35" t="s">
        <v>38</v>
      </c>
      <c r="S47" s="35" t="s">
        <v>38</v>
      </c>
      <c r="T47" s="35" t="s">
        <v>38</v>
      </c>
      <c r="U47" s="35" t="s">
        <v>38</v>
      </c>
      <c r="V47" s="35" t="s">
        <v>38</v>
      </c>
      <c r="W47" s="35" t="s">
        <v>38</v>
      </c>
      <c r="X47" s="35" t="s">
        <v>38</v>
      </c>
      <c r="Y47" s="35" t="s">
        <v>38</v>
      </c>
      <c r="Z47" s="35" t="s">
        <v>38</v>
      </c>
      <c r="AA47" s="35" t="s">
        <v>38</v>
      </c>
      <c r="AB47" s="35" t="s">
        <v>38</v>
      </c>
      <c r="AC47" s="35" t="s">
        <v>38</v>
      </c>
      <c r="AD47" s="35" t="s">
        <v>38</v>
      </c>
      <c r="AE47" s="35" t="s">
        <v>9</v>
      </c>
      <c r="AF47" s="35" t="s">
        <v>38</v>
      </c>
      <c r="AG47" s="35" t="s">
        <v>38</v>
      </c>
      <c r="AH47" s="35" t="s">
        <v>38</v>
      </c>
      <c r="AI47" s="35" t="s">
        <v>38</v>
      </c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6"/>
      <c r="CY47" s="69"/>
      <c r="CZ47" s="36"/>
      <c r="DA47" s="69"/>
      <c r="DB47" s="36"/>
      <c r="DC47" s="69"/>
      <c r="DD47" s="36"/>
      <c r="DE47" s="69"/>
      <c r="DF47" s="36"/>
      <c r="DG47" s="69"/>
      <c r="DH47" s="36"/>
      <c r="DI47" s="69"/>
      <c r="DJ47" s="36"/>
      <c r="DK47" s="69"/>
      <c r="DL47" s="36"/>
      <c r="DM47" s="69"/>
      <c r="DN47" s="36"/>
      <c r="DO47" s="69"/>
      <c r="DP47" s="36"/>
      <c r="DQ47" s="69"/>
      <c r="DR47" s="36"/>
      <c r="DS47" s="69"/>
      <c r="DT47" s="36"/>
      <c r="DU47" s="69"/>
      <c r="DV47" s="37"/>
      <c r="DW47" s="38"/>
    </row>
    <row r="48" spans="1:127" ht="15.75" customHeight="1">
      <c r="A48" s="94">
        <f t="shared" si="13"/>
        <v>40</v>
      </c>
      <c r="B48" s="83" t="str">
        <f>'BASE DE DATOS'!C49</f>
        <v>TI</v>
      </c>
      <c r="C48" s="95">
        <f>'BASE DE DATOS'!D49</f>
        <v>1140921453</v>
      </c>
      <c r="D48" s="28" t="str">
        <f>'BASE DE DATOS'!B49</f>
        <v>Julman Santiago Vargas Castiblanco</v>
      </c>
      <c r="E48" s="29" t="s">
        <v>46</v>
      </c>
      <c r="F48" s="83"/>
      <c r="G48" s="84">
        <f t="shared" si="49"/>
        <v>17</v>
      </c>
      <c r="H48" s="85">
        <f t="shared" si="50"/>
        <v>0</v>
      </c>
      <c r="I48" s="85">
        <f t="shared" si="51"/>
        <v>3</v>
      </c>
      <c r="J48" s="85">
        <f t="shared" si="52"/>
        <v>0</v>
      </c>
      <c r="K48" s="85">
        <f t="shared" si="53"/>
        <v>0</v>
      </c>
      <c r="L48" s="85">
        <f t="shared" si="54"/>
        <v>0</v>
      </c>
      <c r="M48" s="86">
        <f t="shared" si="55"/>
        <v>0</v>
      </c>
      <c r="N48" s="87">
        <f t="shared" si="56"/>
        <v>0</v>
      </c>
      <c r="O48" s="89">
        <f t="shared" si="57"/>
        <v>0.15</v>
      </c>
      <c r="P48" s="35" t="s">
        <v>38</v>
      </c>
      <c r="Q48" s="35" t="s">
        <v>38</v>
      </c>
      <c r="R48" s="35" t="s">
        <v>38</v>
      </c>
      <c r="S48" s="35" t="s">
        <v>38</v>
      </c>
      <c r="T48" s="35" t="s">
        <v>38</v>
      </c>
      <c r="U48" s="35" t="s">
        <v>38</v>
      </c>
      <c r="V48" s="35" t="s">
        <v>11</v>
      </c>
      <c r="W48" s="35" t="s">
        <v>38</v>
      </c>
      <c r="X48" s="35" t="s">
        <v>38</v>
      </c>
      <c r="Y48" s="35" t="s">
        <v>38</v>
      </c>
      <c r="Z48" s="35" t="s">
        <v>38</v>
      </c>
      <c r="AA48" s="35" t="s">
        <v>38</v>
      </c>
      <c r="AB48" s="35" t="s">
        <v>38</v>
      </c>
      <c r="AC48" s="35" t="s">
        <v>38</v>
      </c>
      <c r="AD48" s="35" t="s">
        <v>38</v>
      </c>
      <c r="AE48" s="35" t="s">
        <v>38</v>
      </c>
      <c r="AF48" s="35" t="s">
        <v>11</v>
      </c>
      <c r="AG48" s="35" t="s">
        <v>38</v>
      </c>
      <c r="AH48" s="35" t="s">
        <v>11</v>
      </c>
      <c r="AI48" s="35" t="s">
        <v>38</v>
      </c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6"/>
      <c r="CY48" s="69"/>
      <c r="CZ48" s="36"/>
      <c r="DA48" s="69"/>
      <c r="DB48" s="36"/>
      <c r="DC48" s="69"/>
      <c r="DD48" s="36"/>
      <c r="DE48" s="69"/>
      <c r="DF48" s="36"/>
      <c r="DG48" s="69"/>
      <c r="DH48" s="36"/>
      <c r="DI48" s="69"/>
      <c r="DJ48" s="36"/>
      <c r="DK48" s="69"/>
      <c r="DL48" s="36"/>
      <c r="DM48" s="69"/>
      <c r="DN48" s="36"/>
      <c r="DO48" s="69"/>
      <c r="DP48" s="36"/>
      <c r="DQ48" s="69"/>
      <c r="DR48" s="36"/>
      <c r="DS48" s="69"/>
      <c r="DT48" s="36"/>
      <c r="DU48" s="69"/>
      <c r="DV48" s="37"/>
      <c r="DW48" s="38"/>
    </row>
    <row r="49" spans="1:127" ht="15.75" customHeight="1">
      <c r="A49" s="94">
        <f t="shared" si="13"/>
        <v>41</v>
      </c>
      <c r="B49" s="83" t="str">
        <f>'BASE DE DATOS'!C50</f>
        <v>TI</v>
      </c>
      <c r="C49" s="95">
        <f>'BASE DE DATOS'!D50</f>
        <v>1033749129</v>
      </c>
      <c r="D49" s="28" t="str">
        <f>'BASE DE DATOS'!B50</f>
        <v>Michael Estiben Vargas Morales</v>
      </c>
      <c r="E49" s="29" t="s">
        <v>46</v>
      </c>
      <c r="F49" s="83"/>
      <c r="G49" s="84">
        <f t="shared" si="49"/>
        <v>19</v>
      </c>
      <c r="H49" s="85">
        <f t="shared" si="50"/>
        <v>0</v>
      </c>
      <c r="I49" s="85">
        <f t="shared" si="51"/>
        <v>1</v>
      </c>
      <c r="J49" s="85">
        <f t="shared" si="52"/>
        <v>0</v>
      </c>
      <c r="K49" s="85">
        <f t="shared" si="53"/>
        <v>0</v>
      </c>
      <c r="L49" s="85">
        <f t="shared" si="54"/>
        <v>0</v>
      </c>
      <c r="M49" s="86">
        <f t="shared" si="55"/>
        <v>0</v>
      </c>
      <c r="N49" s="87">
        <f t="shared" si="56"/>
        <v>0</v>
      </c>
      <c r="O49" s="89">
        <f t="shared" si="57"/>
        <v>0.05</v>
      </c>
      <c r="P49" s="35" t="s">
        <v>38</v>
      </c>
      <c r="Q49" s="35" t="s">
        <v>38</v>
      </c>
      <c r="R49" s="35" t="s">
        <v>38</v>
      </c>
      <c r="S49" s="35" t="s">
        <v>38</v>
      </c>
      <c r="T49" s="35" t="s">
        <v>38</v>
      </c>
      <c r="U49" s="35" t="s">
        <v>38</v>
      </c>
      <c r="V49" s="35" t="s">
        <v>38</v>
      </c>
      <c r="W49" s="35" t="s">
        <v>38</v>
      </c>
      <c r="X49" s="35" t="s">
        <v>38</v>
      </c>
      <c r="Y49" s="35" t="s">
        <v>38</v>
      </c>
      <c r="Z49" s="35" t="s">
        <v>38</v>
      </c>
      <c r="AA49" s="35" t="s">
        <v>38</v>
      </c>
      <c r="AB49" s="35" t="s">
        <v>38</v>
      </c>
      <c r="AC49" s="35" t="s">
        <v>38</v>
      </c>
      <c r="AD49" s="35" t="s">
        <v>38</v>
      </c>
      <c r="AE49" s="35" t="s">
        <v>38</v>
      </c>
      <c r="AF49" s="35" t="s">
        <v>11</v>
      </c>
      <c r="AG49" s="35" t="s">
        <v>38</v>
      </c>
      <c r="AH49" s="35" t="s">
        <v>38</v>
      </c>
      <c r="AI49" s="35" t="s">
        <v>38</v>
      </c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6"/>
      <c r="CY49" s="69"/>
      <c r="CZ49" s="36"/>
      <c r="DA49" s="69"/>
      <c r="DB49" s="36"/>
      <c r="DC49" s="69"/>
      <c r="DD49" s="36"/>
      <c r="DE49" s="69"/>
      <c r="DF49" s="36"/>
      <c r="DG49" s="69"/>
      <c r="DH49" s="36"/>
      <c r="DI49" s="69"/>
      <c r="DJ49" s="36"/>
      <c r="DK49" s="69"/>
      <c r="DL49" s="36"/>
      <c r="DM49" s="69"/>
      <c r="DN49" s="36"/>
      <c r="DO49" s="69"/>
      <c r="DP49" s="36"/>
      <c r="DQ49" s="69"/>
      <c r="DR49" s="36"/>
      <c r="DS49" s="69"/>
      <c r="DT49" s="36"/>
      <c r="DU49" s="69"/>
      <c r="DV49" s="37"/>
      <c r="DW49" s="38"/>
    </row>
    <row r="50" spans="1:127" ht="15.75" customHeight="1">
      <c r="A50" s="70"/>
      <c r="B50" s="71"/>
      <c r="C50" s="72"/>
      <c r="D50" s="72"/>
      <c r="E50" s="72"/>
      <c r="F50" s="71"/>
      <c r="G50" s="149" t="s">
        <v>59</v>
      </c>
      <c r="H50" s="150"/>
      <c r="I50" s="150"/>
      <c r="J50" s="150"/>
      <c r="K50" s="150"/>
      <c r="L50" s="150"/>
      <c r="M50" s="151"/>
      <c r="N50" s="152" t="str">
        <f>G8</f>
        <v>A</v>
      </c>
      <c r="O50" s="153"/>
      <c r="P50" s="88">
        <f t="shared" ref="P50:W50" si="58">COUNTIF(P9:P49,"A")</f>
        <v>41</v>
      </c>
      <c r="Q50" s="44">
        <f t="shared" si="58"/>
        <v>41</v>
      </c>
      <c r="R50" s="44">
        <f t="shared" si="58"/>
        <v>41</v>
      </c>
      <c r="S50" s="44">
        <f t="shared" si="58"/>
        <v>41</v>
      </c>
      <c r="T50" s="44">
        <f t="shared" si="58"/>
        <v>41</v>
      </c>
      <c r="U50" s="44">
        <f t="shared" si="58"/>
        <v>41</v>
      </c>
      <c r="V50" s="44">
        <f t="shared" si="58"/>
        <v>37</v>
      </c>
      <c r="W50" s="44">
        <f t="shared" si="58"/>
        <v>41</v>
      </c>
      <c r="X50" s="44">
        <f t="shared" ref="X50:AG50" si="59">COUNTIF(X9:X44,"A")</f>
        <v>36</v>
      </c>
      <c r="Y50" s="44">
        <f t="shared" si="59"/>
        <v>36</v>
      </c>
      <c r="Z50" s="44">
        <f>COUNTIF(Z49:Z49,"A")</f>
        <v>1</v>
      </c>
      <c r="AA50" s="44">
        <f t="shared" ref="AA50:AF50" si="60">COUNTIF(AA9:AA49,"A")</f>
        <v>39</v>
      </c>
      <c r="AB50" s="44">
        <f t="shared" si="60"/>
        <v>35</v>
      </c>
      <c r="AC50" s="44">
        <f t="shared" si="60"/>
        <v>38</v>
      </c>
      <c r="AD50" s="44">
        <f t="shared" si="60"/>
        <v>36</v>
      </c>
      <c r="AE50" s="44">
        <f t="shared" si="60"/>
        <v>36</v>
      </c>
      <c r="AF50" s="44">
        <f t="shared" si="60"/>
        <v>39</v>
      </c>
      <c r="AG50" s="44">
        <f t="shared" si="59"/>
        <v>36</v>
      </c>
      <c r="AH50" s="44">
        <f>COUNTIF(AH9:AH49,"A")</f>
        <v>38</v>
      </c>
      <c r="AI50" s="44">
        <f>COUNTIF(AI9:AI49,"A")</f>
        <v>39</v>
      </c>
      <c r="AJ50" s="44">
        <f t="shared" ref="AJ50:CU50" si="61">COUNTIF(AJ9:AJ49,"A")</f>
        <v>0</v>
      </c>
      <c r="AK50" s="44">
        <f t="shared" si="61"/>
        <v>0</v>
      </c>
      <c r="AL50" s="44">
        <f t="shared" si="61"/>
        <v>0</v>
      </c>
      <c r="AM50" s="44">
        <f t="shared" si="61"/>
        <v>0</v>
      </c>
      <c r="AN50" s="44">
        <f t="shared" si="61"/>
        <v>0</v>
      </c>
      <c r="AO50" s="44">
        <f t="shared" si="61"/>
        <v>0</v>
      </c>
      <c r="AP50" s="44">
        <f t="shared" si="61"/>
        <v>0</v>
      </c>
      <c r="AQ50" s="44">
        <f t="shared" si="61"/>
        <v>0</v>
      </c>
      <c r="AR50" s="44">
        <f t="shared" si="61"/>
        <v>0</v>
      </c>
      <c r="AS50" s="44">
        <f t="shared" si="61"/>
        <v>0</v>
      </c>
      <c r="AT50" s="44">
        <f t="shared" si="61"/>
        <v>0</v>
      </c>
      <c r="AU50" s="44">
        <f t="shared" si="61"/>
        <v>0</v>
      </c>
      <c r="AV50" s="44">
        <f t="shared" si="61"/>
        <v>0</v>
      </c>
      <c r="AW50" s="44">
        <f t="shared" si="61"/>
        <v>0</v>
      </c>
      <c r="AX50" s="44">
        <f t="shared" si="61"/>
        <v>0</v>
      </c>
      <c r="AY50" s="44">
        <f t="shared" si="61"/>
        <v>0</v>
      </c>
      <c r="AZ50" s="44">
        <f t="shared" si="61"/>
        <v>0</v>
      </c>
      <c r="BA50" s="44">
        <f t="shared" si="61"/>
        <v>0</v>
      </c>
      <c r="BB50" s="44">
        <f t="shared" si="61"/>
        <v>0</v>
      </c>
      <c r="BC50" s="44">
        <f t="shared" si="61"/>
        <v>0</v>
      </c>
      <c r="BD50" s="44">
        <f t="shared" si="61"/>
        <v>0</v>
      </c>
      <c r="BE50" s="44">
        <f t="shared" si="61"/>
        <v>0</v>
      </c>
      <c r="BF50" s="44">
        <f t="shared" si="61"/>
        <v>0</v>
      </c>
      <c r="BG50" s="44">
        <f t="shared" si="61"/>
        <v>0</v>
      </c>
      <c r="BH50" s="44">
        <f t="shared" si="61"/>
        <v>0</v>
      </c>
      <c r="BI50" s="44">
        <f t="shared" si="61"/>
        <v>0</v>
      </c>
      <c r="BJ50" s="44">
        <f t="shared" si="61"/>
        <v>0</v>
      </c>
      <c r="BK50" s="44">
        <f t="shared" si="61"/>
        <v>0</v>
      </c>
      <c r="BL50" s="44">
        <f t="shared" si="61"/>
        <v>0</v>
      </c>
      <c r="BM50" s="44">
        <f t="shared" si="61"/>
        <v>0</v>
      </c>
      <c r="BN50" s="44">
        <f t="shared" si="61"/>
        <v>0</v>
      </c>
      <c r="BO50" s="44">
        <f t="shared" si="61"/>
        <v>0</v>
      </c>
      <c r="BP50" s="44">
        <f t="shared" si="61"/>
        <v>0</v>
      </c>
      <c r="BQ50" s="44">
        <f t="shared" si="61"/>
        <v>0</v>
      </c>
      <c r="BR50" s="44">
        <f t="shared" si="61"/>
        <v>0</v>
      </c>
      <c r="BS50" s="44">
        <f t="shared" si="61"/>
        <v>0</v>
      </c>
      <c r="BT50" s="44">
        <f t="shared" si="61"/>
        <v>0</v>
      </c>
      <c r="BU50" s="44">
        <f t="shared" si="61"/>
        <v>0</v>
      </c>
      <c r="BV50" s="44">
        <f t="shared" si="61"/>
        <v>0</v>
      </c>
      <c r="BW50" s="44">
        <f t="shared" si="61"/>
        <v>0</v>
      </c>
      <c r="BX50" s="44">
        <f t="shared" si="61"/>
        <v>0</v>
      </c>
      <c r="BY50" s="44">
        <f t="shared" si="61"/>
        <v>0</v>
      </c>
      <c r="BZ50" s="44">
        <f t="shared" si="61"/>
        <v>0</v>
      </c>
      <c r="CA50" s="44">
        <f t="shared" si="61"/>
        <v>0</v>
      </c>
      <c r="CB50" s="44">
        <f t="shared" si="61"/>
        <v>0</v>
      </c>
      <c r="CC50" s="44">
        <f t="shared" si="61"/>
        <v>0</v>
      </c>
      <c r="CD50" s="44">
        <f t="shared" si="61"/>
        <v>0</v>
      </c>
      <c r="CE50" s="44">
        <f t="shared" si="61"/>
        <v>0</v>
      </c>
      <c r="CF50" s="44">
        <f t="shared" si="61"/>
        <v>0</v>
      </c>
      <c r="CG50" s="44">
        <f t="shared" si="61"/>
        <v>0</v>
      </c>
      <c r="CH50" s="44">
        <f t="shared" si="61"/>
        <v>0</v>
      </c>
      <c r="CI50" s="44">
        <f t="shared" si="61"/>
        <v>0</v>
      </c>
      <c r="CJ50" s="44">
        <f t="shared" si="61"/>
        <v>0</v>
      </c>
      <c r="CK50" s="44">
        <f t="shared" si="61"/>
        <v>0</v>
      </c>
      <c r="CL50" s="44">
        <f t="shared" si="61"/>
        <v>0</v>
      </c>
      <c r="CM50" s="44">
        <f t="shared" si="61"/>
        <v>0</v>
      </c>
      <c r="CN50" s="44">
        <f t="shared" si="61"/>
        <v>0</v>
      </c>
      <c r="CO50" s="44">
        <f t="shared" si="61"/>
        <v>0</v>
      </c>
      <c r="CP50" s="44">
        <f t="shared" si="61"/>
        <v>0</v>
      </c>
      <c r="CQ50" s="44">
        <f t="shared" si="61"/>
        <v>0</v>
      </c>
      <c r="CR50" s="44">
        <f t="shared" si="61"/>
        <v>0</v>
      </c>
      <c r="CS50" s="44">
        <f t="shared" si="61"/>
        <v>0</v>
      </c>
      <c r="CT50" s="44">
        <f t="shared" si="61"/>
        <v>0</v>
      </c>
      <c r="CU50" s="44">
        <f t="shared" si="61"/>
        <v>0</v>
      </c>
      <c r="CV50" s="44">
        <f t="shared" ref="CV50:CW50" si="62">COUNTIF(CV9:CV49,"A")</f>
        <v>0</v>
      </c>
      <c r="CW50" s="44">
        <f t="shared" si="62"/>
        <v>0</v>
      </c>
      <c r="CX50" s="36"/>
      <c r="CY50" s="69"/>
      <c r="CZ50" s="36"/>
      <c r="DA50" s="69"/>
      <c r="DB50" s="36"/>
      <c r="DC50" s="69"/>
      <c r="DD50" s="36"/>
      <c r="DE50" s="69"/>
      <c r="DF50" s="36"/>
      <c r="DG50" s="69"/>
      <c r="DH50" s="36"/>
      <c r="DI50" s="69"/>
      <c r="DJ50" s="36"/>
      <c r="DK50" s="69"/>
      <c r="DL50" s="36"/>
      <c r="DM50" s="69"/>
      <c r="DN50" s="36"/>
      <c r="DO50" s="69"/>
      <c r="DP50" s="36"/>
      <c r="DQ50" s="69"/>
      <c r="DR50" s="36"/>
      <c r="DS50" s="69"/>
      <c r="DT50" s="36"/>
      <c r="DU50" s="69"/>
      <c r="DV50" s="37">
        <f t="shared" ref="DV50:DW50" si="63">CX50+CZ50+DB50+DD50+DF50+DH50+DJ50+DL50+DN50+DP50+DR50+DT50</f>
        <v>0</v>
      </c>
      <c r="DW50" s="38">
        <f t="shared" si="63"/>
        <v>0</v>
      </c>
    </row>
    <row r="51" spans="1:127" ht="15.75" customHeight="1">
      <c r="A51" s="70"/>
      <c r="B51" s="71"/>
      <c r="C51" s="72"/>
      <c r="D51" s="72"/>
      <c r="E51" s="72"/>
      <c r="F51" s="71"/>
      <c r="G51" s="189" t="s">
        <v>10</v>
      </c>
      <c r="H51" s="182"/>
      <c r="I51" s="182"/>
      <c r="J51" s="182"/>
      <c r="K51" s="182"/>
      <c r="L51" s="182"/>
      <c r="M51" s="183"/>
      <c r="N51" s="184" t="str">
        <f>H8</f>
        <v>CE</v>
      </c>
      <c r="O51" s="185"/>
      <c r="P51" s="44">
        <f>COUNTIF(P9:P49,"CE")</f>
        <v>0</v>
      </c>
      <c r="Q51" s="44">
        <f t="shared" ref="Q51:CB51" si="64">COUNTIF(Q9:Q49,"CE")</f>
        <v>0</v>
      </c>
      <c r="R51" s="44">
        <f t="shared" si="64"/>
        <v>0</v>
      </c>
      <c r="S51" s="44">
        <f t="shared" si="64"/>
        <v>0</v>
      </c>
      <c r="T51" s="44">
        <f t="shared" si="64"/>
        <v>0</v>
      </c>
      <c r="U51" s="44">
        <f t="shared" si="64"/>
        <v>0</v>
      </c>
      <c r="V51" s="44">
        <f t="shared" si="64"/>
        <v>1</v>
      </c>
      <c r="W51" s="44">
        <f t="shared" si="64"/>
        <v>0</v>
      </c>
      <c r="X51" s="44">
        <f t="shared" si="64"/>
        <v>0</v>
      </c>
      <c r="Y51" s="44">
        <f t="shared" si="64"/>
        <v>0</v>
      </c>
      <c r="Z51" s="44">
        <f t="shared" si="64"/>
        <v>2</v>
      </c>
      <c r="AA51" s="44">
        <f t="shared" si="64"/>
        <v>1</v>
      </c>
      <c r="AB51" s="44">
        <f t="shared" si="64"/>
        <v>5</v>
      </c>
      <c r="AC51" s="44">
        <f t="shared" si="64"/>
        <v>2</v>
      </c>
      <c r="AD51" s="44">
        <f t="shared" si="64"/>
        <v>1</v>
      </c>
      <c r="AE51" s="44">
        <f t="shared" si="64"/>
        <v>2</v>
      </c>
      <c r="AF51" s="44">
        <f t="shared" si="64"/>
        <v>0</v>
      </c>
      <c r="AG51" s="44">
        <f t="shared" si="64"/>
        <v>0</v>
      </c>
      <c r="AH51" s="44">
        <f t="shared" si="64"/>
        <v>0</v>
      </c>
      <c r="AI51" s="44">
        <f t="shared" si="64"/>
        <v>0</v>
      </c>
      <c r="AJ51" s="44">
        <f t="shared" si="64"/>
        <v>0</v>
      </c>
      <c r="AK51" s="44">
        <f t="shared" si="64"/>
        <v>0</v>
      </c>
      <c r="AL51" s="44">
        <f t="shared" si="64"/>
        <v>0</v>
      </c>
      <c r="AM51" s="44">
        <f t="shared" si="64"/>
        <v>0</v>
      </c>
      <c r="AN51" s="44">
        <f t="shared" si="64"/>
        <v>0</v>
      </c>
      <c r="AO51" s="44">
        <f t="shared" si="64"/>
        <v>0</v>
      </c>
      <c r="AP51" s="44">
        <f t="shared" si="64"/>
        <v>0</v>
      </c>
      <c r="AQ51" s="44">
        <f t="shared" si="64"/>
        <v>0</v>
      </c>
      <c r="AR51" s="44">
        <f t="shared" si="64"/>
        <v>0</v>
      </c>
      <c r="AS51" s="44">
        <f t="shared" si="64"/>
        <v>0</v>
      </c>
      <c r="AT51" s="44">
        <f t="shared" si="64"/>
        <v>0</v>
      </c>
      <c r="AU51" s="44">
        <f t="shared" si="64"/>
        <v>0</v>
      </c>
      <c r="AV51" s="44">
        <f t="shared" si="64"/>
        <v>0</v>
      </c>
      <c r="AW51" s="44">
        <f t="shared" si="64"/>
        <v>0</v>
      </c>
      <c r="AX51" s="44">
        <f t="shared" si="64"/>
        <v>0</v>
      </c>
      <c r="AY51" s="44">
        <f t="shared" si="64"/>
        <v>0</v>
      </c>
      <c r="AZ51" s="44">
        <f t="shared" si="64"/>
        <v>0</v>
      </c>
      <c r="BA51" s="44">
        <f t="shared" si="64"/>
        <v>0</v>
      </c>
      <c r="BB51" s="44">
        <f t="shared" si="64"/>
        <v>0</v>
      </c>
      <c r="BC51" s="44">
        <f t="shared" si="64"/>
        <v>0</v>
      </c>
      <c r="BD51" s="44">
        <f t="shared" si="64"/>
        <v>0</v>
      </c>
      <c r="BE51" s="44">
        <f t="shared" si="64"/>
        <v>0</v>
      </c>
      <c r="BF51" s="44">
        <f t="shared" si="64"/>
        <v>0</v>
      </c>
      <c r="BG51" s="44">
        <f t="shared" si="64"/>
        <v>0</v>
      </c>
      <c r="BH51" s="44">
        <f t="shared" si="64"/>
        <v>0</v>
      </c>
      <c r="BI51" s="44">
        <f t="shared" si="64"/>
        <v>0</v>
      </c>
      <c r="BJ51" s="44">
        <f t="shared" si="64"/>
        <v>0</v>
      </c>
      <c r="BK51" s="44">
        <f t="shared" si="64"/>
        <v>0</v>
      </c>
      <c r="BL51" s="44">
        <f t="shared" si="64"/>
        <v>0</v>
      </c>
      <c r="BM51" s="44">
        <f t="shared" si="64"/>
        <v>0</v>
      </c>
      <c r="BN51" s="44">
        <f t="shared" si="64"/>
        <v>0</v>
      </c>
      <c r="BO51" s="44">
        <f t="shared" si="64"/>
        <v>0</v>
      </c>
      <c r="BP51" s="44">
        <f t="shared" si="64"/>
        <v>0</v>
      </c>
      <c r="BQ51" s="44">
        <f t="shared" si="64"/>
        <v>0</v>
      </c>
      <c r="BR51" s="44">
        <f t="shared" si="64"/>
        <v>0</v>
      </c>
      <c r="BS51" s="44">
        <f t="shared" si="64"/>
        <v>0</v>
      </c>
      <c r="BT51" s="44">
        <f t="shared" si="64"/>
        <v>0</v>
      </c>
      <c r="BU51" s="44">
        <f t="shared" si="64"/>
        <v>0</v>
      </c>
      <c r="BV51" s="44">
        <f t="shared" si="64"/>
        <v>0</v>
      </c>
      <c r="BW51" s="44">
        <f t="shared" si="64"/>
        <v>0</v>
      </c>
      <c r="BX51" s="44">
        <f t="shared" si="64"/>
        <v>0</v>
      </c>
      <c r="BY51" s="44">
        <f t="shared" si="64"/>
        <v>0</v>
      </c>
      <c r="BZ51" s="44">
        <f t="shared" si="64"/>
        <v>0</v>
      </c>
      <c r="CA51" s="44">
        <f t="shared" si="64"/>
        <v>0</v>
      </c>
      <c r="CB51" s="44">
        <f t="shared" si="64"/>
        <v>0</v>
      </c>
      <c r="CC51" s="44">
        <f t="shared" ref="CC51:CW51" si="65">COUNTIF(CC9:CC49,"CE")</f>
        <v>0</v>
      </c>
      <c r="CD51" s="44">
        <f t="shared" si="65"/>
        <v>0</v>
      </c>
      <c r="CE51" s="44">
        <f t="shared" si="65"/>
        <v>0</v>
      </c>
      <c r="CF51" s="44">
        <f t="shared" si="65"/>
        <v>0</v>
      </c>
      <c r="CG51" s="44">
        <f t="shared" si="65"/>
        <v>0</v>
      </c>
      <c r="CH51" s="44">
        <f t="shared" si="65"/>
        <v>0</v>
      </c>
      <c r="CI51" s="44">
        <f t="shared" si="65"/>
        <v>0</v>
      </c>
      <c r="CJ51" s="44">
        <f t="shared" si="65"/>
        <v>0</v>
      </c>
      <c r="CK51" s="44">
        <f t="shared" si="65"/>
        <v>0</v>
      </c>
      <c r="CL51" s="44">
        <f t="shared" si="65"/>
        <v>0</v>
      </c>
      <c r="CM51" s="44">
        <f t="shared" si="65"/>
        <v>0</v>
      </c>
      <c r="CN51" s="44">
        <f t="shared" si="65"/>
        <v>0</v>
      </c>
      <c r="CO51" s="44">
        <f t="shared" si="65"/>
        <v>0</v>
      </c>
      <c r="CP51" s="44">
        <f t="shared" si="65"/>
        <v>0</v>
      </c>
      <c r="CQ51" s="44">
        <f t="shared" si="65"/>
        <v>0</v>
      </c>
      <c r="CR51" s="44">
        <f t="shared" si="65"/>
        <v>0</v>
      </c>
      <c r="CS51" s="44">
        <f t="shared" si="65"/>
        <v>0</v>
      </c>
      <c r="CT51" s="44">
        <f t="shared" si="65"/>
        <v>0</v>
      </c>
      <c r="CU51" s="44">
        <f t="shared" si="65"/>
        <v>0</v>
      </c>
      <c r="CV51" s="44">
        <f t="shared" si="65"/>
        <v>0</v>
      </c>
      <c r="CW51" s="44">
        <f t="shared" si="65"/>
        <v>0</v>
      </c>
      <c r="CX51" s="36"/>
      <c r="CY51" s="69"/>
      <c r="CZ51" s="36"/>
      <c r="DA51" s="69"/>
      <c r="DB51" s="36"/>
      <c r="DC51" s="69"/>
      <c r="DD51" s="36"/>
      <c r="DE51" s="69"/>
      <c r="DF51" s="36"/>
      <c r="DG51" s="69"/>
      <c r="DH51" s="36"/>
      <c r="DI51" s="69"/>
      <c r="DJ51" s="36"/>
      <c r="DK51" s="69"/>
      <c r="DL51" s="36"/>
      <c r="DM51" s="69"/>
      <c r="DN51" s="36"/>
      <c r="DO51" s="69"/>
      <c r="DP51" s="36"/>
      <c r="DQ51" s="69"/>
      <c r="DR51" s="36"/>
      <c r="DS51" s="69"/>
      <c r="DT51" s="36"/>
      <c r="DU51" s="69"/>
      <c r="DV51" s="37">
        <f t="shared" ref="DV51:DW51" si="66">CX51+CZ51+DB51+DD51+DF51+DH51+DJ51+DL51+DN51+DP51+DR51+DT51</f>
        <v>0</v>
      </c>
      <c r="DW51" s="38">
        <f t="shared" si="66"/>
        <v>0</v>
      </c>
    </row>
    <row r="52" spans="1:127" ht="15.75" customHeight="1">
      <c r="A52" s="70"/>
      <c r="B52" s="71"/>
      <c r="C52" s="72"/>
      <c r="D52" s="72"/>
      <c r="E52" s="72"/>
      <c r="F52" s="71"/>
      <c r="G52" s="190" t="s">
        <v>12</v>
      </c>
      <c r="H52" s="182"/>
      <c r="I52" s="182"/>
      <c r="J52" s="182"/>
      <c r="K52" s="182"/>
      <c r="L52" s="182"/>
      <c r="M52" s="183"/>
      <c r="N52" s="184" t="str">
        <f>I8</f>
        <v>SE</v>
      </c>
      <c r="O52" s="185"/>
      <c r="P52" s="44">
        <f>COUNTIF(P9:P49,"SE")</f>
        <v>0</v>
      </c>
      <c r="Q52" s="44">
        <f t="shared" ref="Q52:CB52" si="67">COUNTIF(Q9:Q49,"SE")</f>
        <v>0</v>
      </c>
      <c r="R52" s="44">
        <f t="shared" si="67"/>
        <v>0</v>
      </c>
      <c r="S52" s="44">
        <f t="shared" si="67"/>
        <v>0</v>
      </c>
      <c r="T52" s="44">
        <f t="shared" si="67"/>
        <v>0</v>
      </c>
      <c r="U52" s="44">
        <f t="shared" si="67"/>
        <v>0</v>
      </c>
      <c r="V52" s="44">
        <f t="shared" si="67"/>
        <v>3</v>
      </c>
      <c r="W52" s="44">
        <f t="shared" si="67"/>
        <v>0</v>
      </c>
      <c r="X52" s="44">
        <f t="shared" si="67"/>
        <v>0</v>
      </c>
      <c r="Y52" s="44">
        <f t="shared" si="67"/>
        <v>0</v>
      </c>
      <c r="Z52" s="44">
        <f t="shared" si="67"/>
        <v>1</v>
      </c>
      <c r="AA52" s="44">
        <f t="shared" si="67"/>
        <v>1</v>
      </c>
      <c r="AB52" s="44">
        <f t="shared" si="67"/>
        <v>1</v>
      </c>
      <c r="AC52" s="44">
        <f t="shared" si="67"/>
        <v>1</v>
      </c>
      <c r="AD52" s="44">
        <f t="shared" si="67"/>
        <v>3</v>
      </c>
      <c r="AE52" s="44">
        <f t="shared" si="67"/>
        <v>2</v>
      </c>
      <c r="AF52" s="44">
        <f t="shared" si="67"/>
        <v>2</v>
      </c>
      <c r="AG52" s="44">
        <f t="shared" si="67"/>
        <v>0</v>
      </c>
      <c r="AH52" s="44">
        <f t="shared" si="67"/>
        <v>2</v>
      </c>
      <c r="AI52" s="44">
        <f t="shared" si="67"/>
        <v>1</v>
      </c>
      <c r="AJ52" s="44">
        <f t="shared" si="67"/>
        <v>0</v>
      </c>
      <c r="AK52" s="44">
        <f t="shared" si="67"/>
        <v>0</v>
      </c>
      <c r="AL52" s="44">
        <f t="shared" si="67"/>
        <v>0</v>
      </c>
      <c r="AM52" s="44">
        <f t="shared" si="67"/>
        <v>0</v>
      </c>
      <c r="AN52" s="44">
        <f t="shared" si="67"/>
        <v>0</v>
      </c>
      <c r="AO52" s="44">
        <f t="shared" si="67"/>
        <v>0</v>
      </c>
      <c r="AP52" s="44">
        <f t="shared" si="67"/>
        <v>0</v>
      </c>
      <c r="AQ52" s="44">
        <f t="shared" si="67"/>
        <v>0</v>
      </c>
      <c r="AR52" s="44">
        <f t="shared" si="67"/>
        <v>0</v>
      </c>
      <c r="AS52" s="44">
        <f t="shared" si="67"/>
        <v>0</v>
      </c>
      <c r="AT52" s="44">
        <f t="shared" si="67"/>
        <v>0</v>
      </c>
      <c r="AU52" s="44">
        <f t="shared" si="67"/>
        <v>0</v>
      </c>
      <c r="AV52" s="44">
        <f t="shared" si="67"/>
        <v>0</v>
      </c>
      <c r="AW52" s="44">
        <f t="shared" si="67"/>
        <v>0</v>
      </c>
      <c r="AX52" s="44">
        <f t="shared" si="67"/>
        <v>0</v>
      </c>
      <c r="AY52" s="44">
        <f t="shared" si="67"/>
        <v>0</v>
      </c>
      <c r="AZ52" s="44">
        <f t="shared" si="67"/>
        <v>0</v>
      </c>
      <c r="BA52" s="44">
        <f t="shared" si="67"/>
        <v>0</v>
      </c>
      <c r="BB52" s="44">
        <f t="shared" si="67"/>
        <v>0</v>
      </c>
      <c r="BC52" s="44">
        <f t="shared" si="67"/>
        <v>0</v>
      </c>
      <c r="BD52" s="44">
        <f t="shared" si="67"/>
        <v>0</v>
      </c>
      <c r="BE52" s="44">
        <f t="shared" si="67"/>
        <v>0</v>
      </c>
      <c r="BF52" s="44">
        <f t="shared" si="67"/>
        <v>0</v>
      </c>
      <c r="BG52" s="44">
        <f t="shared" si="67"/>
        <v>0</v>
      </c>
      <c r="BH52" s="44">
        <f t="shared" si="67"/>
        <v>0</v>
      </c>
      <c r="BI52" s="44">
        <f t="shared" si="67"/>
        <v>0</v>
      </c>
      <c r="BJ52" s="44">
        <f t="shared" si="67"/>
        <v>0</v>
      </c>
      <c r="BK52" s="44">
        <f t="shared" si="67"/>
        <v>0</v>
      </c>
      <c r="BL52" s="44">
        <f t="shared" si="67"/>
        <v>0</v>
      </c>
      <c r="BM52" s="44">
        <f t="shared" si="67"/>
        <v>0</v>
      </c>
      <c r="BN52" s="44">
        <f t="shared" si="67"/>
        <v>0</v>
      </c>
      <c r="BO52" s="44">
        <f t="shared" si="67"/>
        <v>0</v>
      </c>
      <c r="BP52" s="44">
        <f t="shared" si="67"/>
        <v>0</v>
      </c>
      <c r="BQ52" s="44">
        <f t="shared" si="67"/>
        <v>0</v>
      </c>
      <c r="BR52" s="44">
        <f t="shared" si="67"/>
        <v>0</v>
      </c>
      <c r="BS52" s="44">
        <f t="shared" si="67"/>
        <v>0</v>
      </c>
      <c r="BT52" s="44">
        <f t="shared" si="67"/>
        <v>0</v>
      </c>
      <c r="BU52" s="44">
        <f t="shared" si="67"/>
        <v>0</v>
      </c>
      <c r="BV52" s="44">
        <f t="shared" si="67"/>
        <v>0</v>
      </c>
      <c r="BW52" s="44">
        <f t="shared" si="67"/>
        <v>0</v>
      </c>
      <c r="BX52" s="44">
        <f t="shared" si="67"/>
        <v>0</v>
      </c>
      <c r="BY52" s="44">
        <f t="shared" si="67"/>
        <v>0</v>
      </c>
      <c r="BZ52" s="44">
        <f t="shared" si="67"/>
        <v>0</v>
      </c>
      <c r="CA52" s="44">
        <f t="shared" si="67"/>
        <v>0</v>
      </c>
      <c r="CB52" s="44">
        <f t="shared" si="67"/>
        <v>0</v>
      </c>
      <c r="CC52" s="44">
        <f t="shared" ref="CC52:CW52" si="68">COUNTIF(CC9:CC49,"SE")</f>
        <v>0</v>
      </c>
      <c r="CD52" s="44">
        <f t="shared" si="68"/>
        <v>0</v>
      </c>
      <c r="CE52" s="44">
        <f t="shared" si="68"/>
        <v>0</v>
      </c>
      <c r="CF52" s="44">
        <f t="shared" si="68"/>
        <v>0</v>
      </c>
      <c r="CG52" s="44">
        <f t="shared" si="68"/>
        <v>0</v>
      </c>
      <c r="CH52" s="44">
        <f t="shared" si="68"/>
        <v>0</v>
      </c>
      <c r="CI52" s="44">
        <f t="shared" si="68"/>
        <v>0</v>
      </c>
      <c r="CJ52" s="44">
        <f t="shared" si="68"/>
        <v>0</v>
      </c>
      <c r="CK52" s="44">
        <f t="shared" si="68"/>
        <v>0</v>
      </c>
      <c r="CL52" s="44">
        <f t="shared" si="68"/>
        <v>0</v>
      </c>
      <c r="CM52" s="44">
        <f t="shared" si="68"/>
        <v>0</v>
      </c>
      <c r="CN52" s="44">
        <f t="shared" si="68"/>
        <v>0</v>
      </c>
      <c r="CO52" s="44">
        <f t="shared" si="68"/>
        <v>0</v>
      </c>
      <c r="CP52" s="44">
        <f t="shared" si="68"/>
        <v>0</v>
      </c>
      <c r="CQ52" s="44">
        <f t="shared" si="68"/>
        <v>0</v>
      </c>
      <c r="CR52" s="44">
        <f t="shared" si="68"/>
        <v>0</v>
      </c>
      <c r="CS52" s="44">
        <f t="shared" si="68"/>
        <v>0</v>
      </c>
      <c r="CT52" s="44">
        <f t="shared" si="68"/>
        <v>0</v>
      </c>
      <c r="CU52" s="44">
        <f t="shared" si="68"/>
        <v>0</v>
      </c>
      <c r="CV52" s="44">
        <f t="shared" si="68"/>
        <v>0</v>
      </c>
      <c r="CW52" s="44">
        <f t="shared" si="68"/>
        <v>0</v>
      </c>
      <c r="CX52" s="36"/>
      <c r="CY52" s="69"/>
      <c r="CZ52" s="36"/>
      <c r="DA52" s="69"/>
      <c r="DB52" s="36"/>
      <c r="DC52" s="69"/>
      <c r="DD52" s="36"/>
      <c r="DE52" s="69"/>
      <c r="DF52" s="36"/>
      <c r="DG52" s="69"/>
      <c r="DH52" s="36"/>
      <c r="DI52" s="69"/>
      <c r="DJ52" s="36"/>
      <c r="DK52" s="69"/>
      <c r="DL52" s="36"/>
      <c r="DM52" s="69"/>
      <c r="DN52" s="36"/>
      <c r="DO52" s="69"/>
      <c r="DP52" s="36"/>
      <c r="DQ52" s="69"/>
      <c r="DR52" s="36"/>
      <c r="DS52" s="69"/>
      <c r="DT52" s="36"/>
      <c r="DU52" s="69"/>
      <c r="DV52" s="37">
        <f t="shared" ref="DV52:DW52" si="69">CX52+CZ52+DB52+DD52+DF52+DH52+DJ52+DL52+DN52+DP52+DR52+DT52</f>
        <v>0</v>
      </c>
      <c r="DW52" s="38">
        <f t="shared" si="69"/>
        <v>0</v>
      </c>
    </row>
    <row r="53" spans="1:127" ht="15.75" customHeight="1">
      <c r="A53" s="70"/>
      <c r="B53" s="71"/>
      <c r="C53" s="72"/>
      <c r="D53" s="72"/>
      <c r="E53" s="72"/>
      <c r="F53" s="45"/>
      <c r="G53" s="191" t="s">
        <v>60</v>
      </c>
      <c r="H53" s="182"/>
      <c r="I53" s="182"/>
      <c r="J53" s="182"/>
      <c r="K53" s="182"/>
      <c r="L53" s="182"/>
      <c r="M53" s="183"/>
      <c r="N53" s="184" t="str">
        <f>J8</f>
        <v>INC</v>
      </c>
      <c r="O53" s="185"/>
      <c r="P53" s="44">
        <f>COUNTIF(P9:P49,"INC")</f>
        <v>0</v>
      </c>
      <c r="Q53" s="44">
        <f t="shared" ref="Q53:CB53" si="70">COUNTIF(Q9:Q49,"INC")</f>
        <v>0</v>
      </c>
      <c r="R53" s="44">
        <f t="shared" si="70"/>
        <v>0</v>
      </c>
      <c r="S53" s="44">
        <f t="shared" si="70"/>
        <v>0</v>
      </c>
      <c r="T53" s="44">
        <f t="shared" si="70"/>
        <v>0</v>
      </c>
      <c r="U53" s="44">
        <f t="shared" si="70"/>
        <v>0</v>
      </c>
      <c r="V53" s="44">
        <f t="shared" si="70"/>
        <v>0</v>
      </c>
      <c r="W53" s="44">
        <f t="shared" si="70"/>
        <v>0</v>
      </c>
      <c r="X53" s="44">
        <f t="shared" si="70"/>
        <v>0</v>
      </c>
      <c r="Y53" s="44">
        <f t="shared" si="70"/>
        <v>0</v>
      </c>
      <c r="Z53" s="44">
        <f t="shared" si="70"/>
        <v>0</v>
      </c>
      <c r="AA53" s="44">
        <f t="shared" si="70"/>
        <v>0</v>
      </c>
      <c r="AB53" s="44">
        <f t="shared" si="70"/>
        <v>0</v>
      </c>
      <c r="AC53" s="44">
        <f t="shared" si="70"/>
        <v>0</v>
      </c>
      <c r="AD53" s="44">
        <f t="shared" si="70"/>
        <v>0</v>
      </c>
      <c r="AE53" s="44">
        <f t="shared" si="70"/>
        <v>0</v>
      </c>
      <c r="AF53" s="44">
        <f t="shared" si="70"/>
        <v>0</v>
      </c>
      <c r="AG53" s="44">
        <f t="shared" si="70"/>
        <v>0</v>
      </c>
      <c r="AH53" s="44">
        <f t="shared" si="70"/>
        <v>0</v>
      </c>
      <c r="AI53" s="44">
        <f t="shared" si="70"/>
        <v>0</v>
      </c>
      <c r="AJ53" s="44">
        <f t="shared" si="70"/>
        <v>0</v>
      </c>
      <c r="AK53" s="44">
        <f t="shared" si="70"/>
        <v>0</v>
      </c>
      <c r="AL53" s="44">
        <f t="shared" si="70"/>
        <v>0</v>
      </c>
      <c r="AM53" s="44">
        <f t="shared" si="70"/>
        <v>0</v>
      </c>
      <c r="AN53" s="44">
        <f t="shared" si="70"/>
        <v>0</v>
      </c>
      <c r="AO53" s="44">
        <f t="shared" si="70"/>
        <v>0</v>
      </c>
      <c r="AP53" s="44">
        <f t="shared" si="70"/>
        <v>0</v>
      </c>
      <c r="AQ53" s="44">
        <f t="shared" si="70"/>
        <v>0</v>
      </c>
      <c r="AR53" s="44">
        <f t="shared" si="70"/>
        <v>0</v>
      </c>
      <c r="AS53" s="44">
        <f t="shared" si="70"/>
        <v>0</v>
      </c>
      <c r="AT53" s="44">
        <f t="shared" si="70"/>
        <v>0</v>
      </c>
      <c r="AU53" s="44">
        <f t="shared" si="70"/>
        <v>0</v>
      </c>
      <c r="AV53" s="44">
        <f t="shared" si="70"/>
        <v>0</v>
      </c>
      <c r="AW53" s="44">
        <f t="shared" si="70"/>
        <v>0</v>
      </c>
      <c r="AX53" s="44">
        <f t="shared" si="70"/>
        <v>0</v>
      </c>
      <c r="AY53" s="44">
        <f t="shared" si="70"/>
        <v>0</v>
      </c>
      <c r="AZ53" s="44">
        <f t="shared" si="70"/>
        <v>0</v>
      </c>
      <c r="BA53" s="44">
        <f t="shared" si="70"/>
        <v>0</v>
      </c>
      <c r="BB53" s="44">
        <f t="shared" si="70"/>
        <v>0</v>
      </c>
      <c r="BC53" s="44">
        <f t="shared" si="70"/>
        <v>0</v>
      </c>
      <c r="BD53" s="44">
        <f t="shared" si="70"/>
        <v>0</v>
      </c>
      <c r="BE53" s="44">
        <f t="shared" si="70"/>
        <v>0</v>
      </c>
      <c r="BF53" s="44">
        <f t="shared" si="70"/>
        <v>0</v>
      </c>
      <c r="BG53" s="44">
        <f t="shared" si="70"/>
        <v>0</v>
      </c>
      <c r="BH53" s="44">
        <f t="shared" si="70"/>
        <v>0</v>
      </c>
      <c r="BI53" s="44">
        <f t="shared" si="70"/>
        <v>0</v>
      </c>
      <c r="BJ53" s="44">
        <f t="shared" si="70"/>
        <v>0</v>
      </c>
      <c r="BK53" s="44">
        <f t="shared" si="70"/>
        <v>0</v>
      </c>
      <c r="BL53" s="44">
        <f t="shared" si="70"/>
        <v>0</v>
      </c>
      <c r="BM53" s="44">
        <f t="shared" si="70"/>
        <v>0</v>
      </c>
      <c r="BN53" s="44">
        <f t="shared" si="70"/>
        <v>0</v>
      </c>
      <c r="BO53" s="44">
        <f t="shared" si="70"/>
        <v>0</v>
      </c>
      <c r="BP53" s="44">
        <f t="shared" si="70"/>
        <v>0</v>
      </c>
      <c r="BQ53" s="44">
        <f t="shared" si="70"/>
        <v>0</v>
      </c>
      <c r="BR53" s="44">
        <f t="shared" si="70"/>
        <v>0</v>
      </c>
      <c r="BS53" s="44">
        <f t="shared" si="70"/>
        <v>0</v>
      </c>
      <c r="BT53" s="44">
        <f t="shared" si="70"/>
        <v>0</v>
      </c>
      <c r="BU53" s="44">
        <f t="shared" si="70"/>
        <v>0</v>
      </c>
      <c r="BV53" s="44">
        <f t="shared" si="70"/>
        <v>0</v>
      </c>
      <c r="BW53" s="44">
        <f t="shared" si="70"/>
        <v>0</v>
      </c>
      <c r="BX53" s="44">
        <f t="shared" si="70"/>
        <v>0</v>
      </c>
      <c r="BY53" s="44">
        <f t="shared" si="70"/>
        <v>0</v>
      </c>
      <c r="BZ53" s="44">
        <f t="shared" si="70"/>
        <v>0</v>
      </c>
      <c r="CA53" s="44">
        <f t="shared" si="70"/>
        <v>0</v>
      </c>
      <c r="CB53" s="44">
        <f t="shared" si="70"/>
        <v>0</v>
      </c>
      <c r="CC53" s="44">
        <f t="shared" ref="CC53:CW53" si="71">COUNTIF(CC9:CC49,"INC")</f>
        <v>0</v>
      </c>
      <c r="CD53" s="44">
        <f t="shared" si="71"/>
        <v>0</v>
      </c>
      <c r="CE53" s="44">
        <f t="shared" si="71"/>
        <v>0</v>
      </c>
      <c r="CF53" s="44">
        <f t="shared" si="71"/>
        <v>0</v>
      </c>
      <c r="CG53" s="44">
        <f t="shared" si="71"/>
        <v>0</v>
      </c>
      <c r="CH53" s="44">
        <f t="shared" si="71"/>
        <v>0</v>
      </c>
      <c r="CI53" s="44">
        <f t="shared" si="71"/>
        <v>0</v>
      </c>
      <c r="CJ53" s="44">
        <f t="shared" si="71"/>
        <v>0</v>
      </c>
      <c r="CK53" s="44">
        <f t="shared" si="71"/>
        <v>0</v>
      </c>
      <c r="CL53" s="44">
        <f t="shared" si="71"/>
        <v>0</v>
      </c>
      <c r="CM53" s="44">
        <f t="shared" si="71"/>
        <v>0</v>
      </c>
      <c r="CN53" s="44">
        <f t="shared" si="71"/>
        <v>0</v>
      </c>
      <c r="CO53" s="44">
        <f t="shared" si="71"/>
        <v>0</v>
      </c>
      <c r="CP53" s="44">
        <f t="shared" si="71"/>
        <v>0</v>
      </c>
      <c r="CQ53" s="44">
        <f t="shared" si="71"/>
        <v>0</v>
      </c>
      <c r="CR53" s="44">
        <f t="shared" si="71"/>
        <v>0</v>
      </c>
      <c r="CS53" s="44">
        <f t="shared" si="71"/>
        <v>0</v>
      </c>
      <c r="CT53" s="44">
        <f t="shared" si="71"/>
        <v>0</v>
      </c>
      <c r="CU53" s="44">
        <f t="shared" si="71"/>
        <v>0</v>
      </c>
      <c r="CV53" s="44">
        <f t="shared" si="71"/>
        <v>0</v>
      </c>
      <c r="CW53" s="44">
        <f t="shared" si="71"/>
        <v>0</v>
      </c>
      <c r="CX53" s="36"/>
      <c r="CY53" s="69"/>
      <c r="CZ53" s="36"/>
      <c r="DA53" s="69"/>
      <c r="DB53" s="36"/>
      <c r="DC53" s="69"/>
      <c r="DD53" s="36"/>
      <c r="DE53" s="69"/>
      <c r="DF53" s="36"/>
      <c r="DG53" s="69"/>
      <c r="DH53" s="36"/>
      <c r="DI53" s="69"/>
      <c r="DJ53" s="36"/>
      <c r="DK53" s="69"/>
      <c r="DL53" s="36"/>
      <c r="DM53" s="69"/>
      <c r="DN53" s="36"/>
      <c r="DO53" s="69"/>
      <c r="DP53" s="36"/>
      <c r="DQ53" s="69"/>
      <c r="DR53" s="36"/>
      <c r="DS53" s="69"/>
      <c r="DT53" s="36"/>
      <c r="DU53" s="69"/>
      <c r="DV53" s="37">
        <f t="shared" ref="DV53:DW53" si="72">CX53+CZ53+DB53+DD53+DF53+DH53+DJ53+DL53+DN53+DP53+DR53+DT53</f>
        <v>0</v>
      </c>
      <c r="DW53" s="38">
        <f t="shared" si="72"/>
        <v>0</v>
      </c>
    </row>
    <row r="54" spans="1:127" ht="15.75" customHeight="1">
      <c r="A54" s="70"/>
      <c r="B54" s="71"/>
      <c r="C54" s="72"/>
      <c r="D54" s="72"/>
      <c r="E54" s="72"/>
      <c r="F54" s="71"/>
      <c r="G54" s="181" t="s">
        <v>61</v>
      </c>
      <c r="H54" s="182"/>
      <c r="I54" s="182"/>
      <c r="J54" s="182"/>
      <c r="K54" s="182"/>
      <c r="L54" s="182"/>
      <c r="M54" s="183"/>
      <c r="N54" s="184" t="str">
        <f>K8</f>
        <v>LIC</v>
      </c>
      <c r="O54" s="185"/>
      <c r="P54" s="44">
        <f>COUNTIF(P9:P49,"LIC")</f>
        <v>0</v>
      </c>
      <c r="Q54" s="44">
        <f t="shared" ref="Q54:CB54" si="73">COUNTIF(Q9:Q49,"LIC")</f>
        <v>0</v>
      </c>
      <c r="R54" s="44">
        <f t="shared" si="73"/>
        <v>0</v>
      </c>
      <c r="S54" s="44">
        <f t="shared" si="73"/>
        <v>0</v>
      </c>
      <c r="T54" s="44">
        <f t="shared" si="73"/>
        <v>0</v>
      </c>
      <c r="U54" s="44">
        <f t="shared" si="73"/>
        <v>0</v>
      </c>
      <c r="V54" s="44">
        <f t="shared" si="73"/>
        <v>0</v>
      </c>
      <c r="W54" s="44">
        <f t="shared" si="73"/>
        <v>0</v>
      </c>
      <c r="X54" s="44">
        <f t="shared" si="73"/>
        <v>0</v>
      </c>
      <c r="Y54" s="44">
        <f t="shared" si="73"/>
        <v>0</v>
      </c>
      <c r="Z54" s="44">
        <f t="shared" si="73"/>
        <v>0</v>
      </c>
      <c r="AA54" s="44">
        <f t="shared" si="73"/>
        <v>0</v>
      </c>
      <c r="AB54" s="44">
        <f t="shared" si="73"/>
        <v>0</v>
      </c>
      <c r="AC54" s="44">
        <f t="shared" si="73"/>
        <v>0</v>
      </c>
      <c r="AD54" s="44">
        <f t="shared" si="73"/>
        <v>0</v>
      </c>
      <c r="AE54" s="44">
        <f t="shared" si="73"/>
        <v>0</v>
      </c>
      <c r="AF54" s="44">
        <f t="shared" si="73"/>
        <v>0</v>
      </c>
      <c r="AG54" s="44">
        <f t="shared" si="73"/>
        <v>0</v>
      </c>
      <c r="AH54" s="44">
        <f t="shared" si="73"/>
        <v>0</v>
      </c>
      <c r="AI54" s="44">
        <f t="shared" si="73"/>
        <v>0</v>
      </c>
      <c r="AJ54" s="44">
        <f t="shared" si="73"/>
        <v>0</v>
      </c>
      <c r="AK54" s="44">
        <f t="shared" si="73"/>
        <v>0</v>
      </c>
      <c r="AL54" s="44">
        <f t="shared" si="73"/>
        <v>0</v>
      </c>
      <c r="AM54" s="44">
        <f t="shared" si="73"/>
        <v>0</v>
      </c>
      <c r="AN54" s="44">
        <f t="shared" si="73"/>
        <v>0</v>
      </c>
      <c r="AO54" s="44">
        <f t="shared" si="73"/>
        <v>0</v>
      </c>
      <c r="AP54" s="44">
        <f t="shared" si="73"/>
        <v>0</v>
      </c>
      <c r="AQ54" s="44">
        <f t="shared" si="73"/>
        <v>0</v>
      </c>
      <c r="AR54" s="44">
        <f t="shared" si="73"/>
        <v>0</v>
      </c>
      <c r="AS54" s="44">
        <f t="shared" si="73"/>
        <v>0</v>
      </c>
      <c r="AT54" s="44">
        <f t="shared" si="73"/>
        <v>0</v>
      </c>
      <c r="AU54" s="44">
        <f t="shared" si="73"/>
        <v>0</v>
      </c>
      <c r="AV54" s="44">
        <f t="shared" si="73"/>
        <v>0</v>
      </c>
      <c r="AW54" s="44">
        <f t="shared" si="73"/>
        <v>0</v>
      </c>
      <c r="AX54" s="44">
        <f t="shared" si="73"/>
        <v>0</v>
      </c>
      <c r="AY54" s="44">
        <f t="shared" si="73"/>
        <v>0</v>
      </c>
      <c r="AZ54" s="44">
        <f t="shared" si="73"/>
        <v>0</v>
      </c>
      <c r="BA54" s="44">
        <f t="shared" si="73"/>
        <v>0</v>
      </c>
      <c r="BB54" s="44">
        <f t="shared" si="73"/>
        <v>0</v>
      </c>
      <c r="BC54" s="44">
        <f t="shared" si="73"/>
        <v>0</v>
      </c>
      <c r="BD54" s="44">
        <f t="shared" si="73"/>
        <v>0</v>
      </c>
      <c r="BE54" s="44">
        <f t="shared" si="73"/>
        <v>0</v>
      </c>
      <c r="BF54" s="44">
        <f t="shared" si="73"/>
        <v>0</v>
      </c>
      <c r="BG54" s="44">
        <f t="shared" si="73"/>
        <v>0</v>
      </c>
      <c r="BH54" s="44">
        <f t="shared" si="73"/>
        <v>0</v>
      </c>
      <c r="BI54" s="44">
        <f t="shared" si="73"/>
        <v>0</v>
      </c>
      <c r="BJ54" s="44">
        <f t="shared" si="73"/>
        <v>0</v>
      </c>
      <c r="BK54" s="44">
        <f t="shared" si="73"/>
        <v>0</v>
      </c>
      <c r="BL54" s="44">
        <f t="shared" si="73"/>
        <v>0</v>
      </c>
      <c r="BM54" s="44">
        <f t="shared" si="73"/>
        <v>0</v>
      </c>
      <c r="BN54" s="44">
        <f t="shared" si="73"/>
        <v>0</v>
      </c>
      <c r="BO54" s="44">
        <f t="shared" si="73"/>
        <v>0</v>
      </c>
      <c r="BP54" s="44">
        <f t="shared" si="73"/>
        <v>0</v>
      </c>
      <c r="BQ54" s="44">
        <f t="shared" si="73"/>
        <v>0</v>
      </c>
      <c r="BR54" s="44">
        <f t="shared" si="73"/>
        <v>0</v>
      </c>
      <c r="BS54" s="44">
        <f t="shared" si="73"/>
        <v>0</v>
      </c>
      <c r="BT54" s="44">
        <f t="shared" si="73"/>
        <v>0</v>
      </c>
      <c r="BU54" s="44">
        <f t="shared" si="73"/>
        <v>0</v>
      </c>
      <c r="BV54" s="44">
        <f t="shared" si="73"/>
        <v>0</v>
      </c>
      <c r="BW54" s="44">
        <f t="shared" si="73"/>
        <v>0</v>
      </c>
      <c r="BX54" s="44">
        <f t="shared" si="73"/>
        <v>0</v>
      </c>
      <c r="BY54" s="44">
        <f t="shared" si="73"/>
        <v>0</v>
      </c>
      <c r="BZ54" s="44">
        <f t="shared" si="73"/>
        <v>0</v>
      </c>
      <c r="CA54" s="44">
        <f t="shared" si="73"/>
        <v>0</v>
      </c>
      <c r="CB54" s="44">
        <f t="shared" si="73"/>
        <v>0</v>
      </c>
      <c r="CC54" s="44">
        <f t="shared" ref="CC54:CW54" si="74">COUNTIF(CC9:CC49,"LIC")</f>
        <v>0</v>
      </c>
      <c r="CD54" s="44">
        <f t="shared" si="74"/>
        <v>0</v>
      </c>
      <c r="CE54" s="44">
        <f t="shared" si="74"/>
        <v>0</v>
      </c>
      <c r="CF54" s="44">
        <f t="shared" si="74"/>
        <v>0</v>
      </c>
      <c r="CG54" s="44">
        <f t="shared" si="74"/>
        <v>0</v>
      </c>
      <c r="CH54" s="44">
        <f t="shared" si="74"/>
        <v>0</v>
      </c>
      <c r="CI54" s="44">
        <f t="shared" si="74"/>
        <v>0</v>
      </c>
      <c r="CJ54" s="44">
        <f t="shared" si="74"/>
        <v>0</v>
      </c>
      <c r="CK54" s="44">
        <f t="shared" si="74"/>
        <v>0</v>
      </c>
      <c r="CL54" s="44">
        <f t="shared" si="74"/>
        <v>0</v>
      </c>
      <c r="CM54" s="44">
        <f t="shared" si="74"/>
        <v>0</v>
      </c>
      <c r="CN54" s="44">
        <f t="shared" si="74"/>
        <v>0</v>
      </c>
      <c r="CO54" s="44">
        <f t="shared" si="74"/>
        <v>0</v>
      </c>
      <c r="CP54" s="44">
        <f t="shared" si="74"/>
        <v>0</v>
      </c>
      <c r="CQ54" s="44">
        <f t="shared" si="74"/>
        <v>0</v>
      </c>
      <c r="CR54" s="44">
        <f t="shared" si="74"/>
        <v>0</v>
      </c>
      <c r="CS54" s="44">
        <f t="shared" si="74"/>
        <v>0</v>
      </c>
      <c r="CT54" s="44">
        <f t="shared" si="74"/>
        <v>0</v>
      </c>
      <c r="CU54" s="44">
        <f t="shared" si="74"/>
        <v>0</v>
      </c>
      <c r="CV54" s="44">
        <f t="shared" si="74"/>
        <v>0</v>
      </c>
      <c r="CW54" s="44">
        <f t="shared" si="74"/>
        <v>0</v>
      </c>
      <c r="CX54" s="36"/>
      <c r="CY54" s="69"/>
      <c r="CZ54" s="36"/>
      <c r="DA54" s="69"/>
      <c r="DB54" s="36"/>
      <c r="DC54" s="69"/>
      <c r="DD54" s="36"/>
      <c r="DE54" s="69"/>
      <c r="DF54" s="36"/>
      <c r="DG54" s="69"/>
      <c r="DH54" s="36"/>
      <c r="DI54" s="69"/>
      <c r="DJ54" s="36"/>
      <c r="DK54" s="69"/>
      <c r="DL54" s="36"/>
      <c r="DM54" s="69"/>
      <c r="DN54" s="36"/>
      <c r="DO54" s="69"/>
      <c r="DP54" s="36"/>
      <c r="DQ54" s="69"/>
      <c r="DR54" s="36"/>
      <c r="DS54" s="69"/>
      <c r="DT54" s="36"/>
      <c r="DU54" s="69"/>
      <c r="DV54" s="37">
        <f t="shared" ref="DV54:DW54" si="75">CX54+CZ54+DB54+DD54+DF54+DH54+DJ54+DL54+DN54+DP54+DR54+DT54</f>
        <v>0</v>
      </c>
      <c r="DW54" s="38">
        <f t="shared" si="75"/>
        <v>0</v>
      </c>
    </row>
    <row r="55" spans="1:127" ht="15.75" customHeight="1">
      <c r="A55" s="70"/>
      <c r="B55" s="71"/>
      <c r="C55" s="72"/>
      <c r="D55" s="72"/>
      <c r="E55" s="72"/>
      <c r="F55" s="71"/>
      <c r="G55" s="193" t="s">
        <v>62</v>
      </c>
      <c r="H55" s="182"/>
      <c r="I55" s="182"/>
      <c r="J55" s="182"/>
      <c r="K55" s="182"/>
      <c r="L55" s="182"/>
      <c r="M55" s="183"/>
      <c r="N55" s="184" t="str">
        <f>L8</f>
        <v>CLM</v>
      </c>
      <c r="O55" s="185"/>
      <c r="P55" s="44">
        <f>COUNTIF(P9:P49,"CLM")</f>
        <v>0</v>
      </c>
      <c r="Q55" s="44">
        <f t="shared" ref="Q55:CB55" si="76">COUNTIF(Q9:Q49,"CLM")</f>
        <v>0</v>
      </c>
      <c r="R55" s="44">
        <f t="shared" si="76"/>
        <v>0</v>
      </c>
      <c r="S55" s="44">
        <f t="shared" si="76"/>
        <v>0</v>
      </c>
      <c r="T55" s="44">
        <f t="shared" si="76"/>
        <v>0</v>
      </c>
      <c r="U55" s="44">
        <f t="shared" si="76"/>
        <v>0</v>
      </c>
      <c r="V55" s="44">
        <f t="shared" si="76"/>
        <v>0</v>
      </c>
      <c r="W55" s="44">
        <f t="shared" si="76"/>
        <v>0</v>
      </c>
      <c r="X55" s="44">
        <f t="shared" si="76"/>
        <v>0</v>
      </c>
      <c r="Y55" s="44">
        <f t="shared" si="76"/>
        <v>0</v>
      </c>
      <c r="Z55" s="44">
        <f t="shared" si="76"/>
        <v>0</v>
      </c>
      <c r="AA55" s="44">
        <f t="shared" si="76"/>
        <v>0</v>
      </c>
      <c r="AB55" s="44">
        <f t="shared" si="76"/>
        <v>0</v>
      </c>
      <c r="AC55" s="44">
        <f t="shared" si="76"/>
        <v>0</v>
      </c>
      <c r="AD55" s="44">
        <f t="shared" si="76"/>
        <v>0</v>
      </c>
      <c r="AE55" s="44">
        <f t="shared" si="76"/>
        <v>0</v>
      </c>
      <c r="AF55" s="44">
        <f t="shared" si="76"/>
        <v>0</v>
      </c>
      <c r="AG55" s="44">
        <f t="shared" si="76"/>
        <v>0</v>
      </c>
      <c r="AH55" s="44">
        <f t="shared" si="76"/>
        <v>0</v>
      </c>
      <c r="AI55" s="44">
        <f t="shared" si="76"/>
        <v>0</v>
      </c>
      <c r="AJ55" s="44">
        <f t="shared" si="76"/>
        <v>0</v>
      </c>
      <c r="AK55" s="44">
        <f t="shared" si="76"/>
        <v>0</v>
      </c>
      <c r="AL55" s="44">
        <f t="shared" si="76"/>
        <v>0</v>
      </c>
      <c r="AM55" s="44">
        <f t="shared" si="76"/>
        <v>0</v>
      </c>
      <c r="AN55" s="44">
        <f t="shared" si="76"/>
        <v>0</v>
      </c>
      <c r="AO55" s="44">
        <f t="shared" si="76"/>
        <v>0</v>
      </c>
      <c r="AP55" s="44">
        <f t="shared" si="76"/>
        <v>0</v>
      </c>
      <c r="AQ55" s="44">
        <f t="shared" si="76"/>
        <v>0</v>
      </c>
      <c r="AR55" s="44">
        <f t="shared" si="76"/>
        <v>0</v>
      </c>
      <c r="AS55" s="44">
        <f t="shared" si="76"/>
        <v>0</v>
      </c>
      <c r="AT55" s="44">
        <f t="shared" si="76"/>
        <v>0</v>
      </c>
      <c r="AU55" s="44">
        <f t="shared" si="76"/>
        <v>0</v>
      </c>
      <c r="AV55" s="44">
        <f t="shared" si="76"/>
        <v>0</v>
      </c>
      <c r="AW55" s="44">
        <f t="shared" si="76"/>
        <v>0</v>
      </c>
      <c r="AX55" s="44">
        <f t="shared" si="76"/>
        <v>0</v>
      </c>
      <c r="AY55" s="44">
        <f t="shared" si="76"/>
        <v>0</v>
      </c>
      <c r="AZ55" s="44">
        <f t="shared" si="76"/>
        <v>0</v>
      </c>
      <c r="BA55" s="44">
        <f t="shared" si="76"/>
        <v>0</v>
      </c>
      <c r="BB55" s="44">
        <f t="shared" si="76"/>
        <v>0</v>
      </c>
      <c r="BC55" s="44">
        <f t="shared" si="76"/>
        <v>0</v>
      </c>
      <c r="BD55" s="44">
        <f t="shared" si="76"/>
        <v>0</v>
      </c>
      <c r="BE55" s="44">
        <f t="shared" si="76"/>
        <v>0</v>
      </c>
      <c r="BF55" s="44">
        <f t="shared" si="76"/>
        <v>0</v>
      </c>
      <c r="BG55" s="44">
        <f t="shared" si="76"/>
        <v>0</v>
      </c>
      <c r="BH55" s="44">
        <f t="shared" si="76"/>
        <v>0</v>
      </c>
      <c r="BI55" s="44">
        <f t="shared" si="76"/>
        <v>0</v>
      </c>
      <c r="BJ55" s="44">
        <f t="shared" si="76"/>
        <v>0</v>
      </c>
      <c r="BK55" s="44">
        <f t="shared" si="76"/>
        <v>0</v>
      </c>
      <c r="BL55" s="44">
        <f t="shared" si="76"/>
        <v>0</v>
      </c>
      <c r="BM55" s="44">
        <f t="shared" si="76"/>
        <v>0</v>
      </c>
      <c r="BN55" s="44">
        <f t="shared" si="76"/>
        <v>0</v>
      </c>
      <c r="BO55" s="44">
        <f t="shared" si="76"/>
        <v>0</v>
      </c>
      <c r="BP55" s="44">
        <f t="shared" si="76"/>
        <v>0</v>
      </c>
      <c r="BQ55" s="44">
        <f t="shared" si="76"/>
        <v>0</v>
      </c>
      <c r="BR55" s="44">
        <f t="shared" si="76"/>
        <v>0</v>
      </c>
      <c r="BS55" s="44">
        <f t="shared" si="76"/>
        <v>0</v>
      </c>
      <c r="BT55" s="44">
        <f t="shared" si="76"/>
        <v>0</v>
      </c>
      <c r="BU55" s="44">
        <f t="shared" si="76"/>
        <v>0</v>
      </c>
      <c r="BV55" s="44">
        <f t="shared" si="76"/>
        <v>0</v>
      </c>
      <c r="BW55" s="44">
        <f t="shared" si="76"/>
        <v>0</v>
      </c>
      <c r="BX55" s="44">
        <f t="shared" si="76"/>
        <v>0</v>
      </c>
      <c r="BY55" s="44">
        <f t="shared" si="76"/>
        <v>0</v>
      </c>
      <c r="BZ55" s="44">
        <f t="shared" si="76"/>
        <v>0</v>
      </c>
      <c r="CA55" s="44">
        <f t="shared" si="76"/>
        <v>0</v>
      </c>
      <c r="CB55" s="44">
        <f t="shared" si="76"/>
        <v>0</v>
      </c>
      <c r="CC55" s="44">
        <f t="shared" ref="CC55:CW55" si="77">COUNTIF(CC9:CC49,"CLM")</f>
        <v>0</v>
      </c>
      <c r="CD55" s="44">
        <f t="shared" si="77"/>
        <v>0</v>
      </c>
      <c r="CE55" s="44">
        <f t="shared" si="77"/>
        <v>0</v>
      </c>
      <c r="CF55" s="44">
        <f t="shared" si="77"/>
        <v>0</v>
      </c>
      <c r="CG55" s="44">
        <f t="shared" si="77"/>
        <v>0</v>
      </c>
      <c r="CH55" s="44">
        <f t="shared" si="77"/>
        <v>0</v>
      </c>
      <c r="CI55" s="44">
        <f t="shared" si="77"/>
        <v>0</v>
      </c>
      <c r="CJ55" s="44">
        <f t="shared" si="77"/>
        <v>0</v>
      </c>
      <c r="CK55" s="44">
        <f t="shared" si="77"/>
        <v>0</v>
      </c>
      <c r="CL55" s="44">
        <f t="shared" si="77"/>
        <v>0</v>
      </c>
      <c r="CM55" s="44">
        <f t="shared" si="77"/>
        <v>0</v>
      </c>
      <c r="CN55" s="44">
        <f t="shared" si="77"/>
        <v>0</v>
      </c>
      <c r="CO55" s="44">
        <f t="shared" si="77"/>
        <v>0</v>
      </c>
      <c r="CP55" s="44">
        <f t="shared" si="77"/>
        <v>0</v>
      </c>
      <c r="CQ55" s="44">
        <f t="shared" si="77"/>
        <v>0</v>
      </c>
      <c r="CR55" s="44">
        <f t="shared" si="77"/>
        <v>0</v>
      </c>
      <c r="CS55" s="44">
        <f t="shared" si="77"/>
        <v>0</v>
      </c>
      <c r="CT55" s="44">
        <f t="shared" si="77"/>
        <v>0</v>
      </c>
      <c r="CU55" s="44">
        <f t="shared" si="77"/>
        <v>0</v>
      </c>
      <c r="CV55" s="44">
        <f t="shared" si="77"/>
        <v>0</v>
      </c>
      <c r="CW55" s="44">
        <f t="shared" si="77"/>
        <v>0</v>
      </c>
      <c r="CX55" s="36"/>
      <c r="CY55" s="69"/>
      <c r="CZ55" s="36"/>
      <c r="DA55" s="69"/>
      <c r="DB55" s="36"/>
      <c r="DC55" s="69"/>
      <c r="DD55" s="36"/>
      <c r="DE55" s="69"/>
      <c r="DF55" s="36"/>
      <c r="DG55" s="69"/>
      <c r="DH55" s="36"/>
      <c r="DI55" s="69"/>
      <c r="DJ55" s="36"/>
      <c r="DK55" s="69"/>
      <c r="DL55" s="36"/>
      <c r="DM55" s="69"/>
      <c r="DN55" s="36"/>
      <c r="DO55" s="69"/>
      <c r="DP55" s="36"/>
      <c r="DQ55" s="69"/>
      <c r="DR55" s="36"/>
      <c r="DS55" s="69"/>
      <c r="DT55" s="36"/>
      <c r="DU55" s="69"/>
      <c r="DV55" s="37">
        <f t="shared" ref="DV55:DW55" si="78">CX55+CZ55+DB55+DD55+DF55+DH55+DJ55+DL55+DN55+DP55+DR55+DT55</f>
        <v>0</v>
      </c>
      <c r="DW55" s="38">
        <f t="shared" si="78"/>
        <v>0</v>
      </c>
    </row>
    <row r="56" spans="1:127" ht="15.75" customHeight="1">
      <c r="A56" s="70"/>
      <c r="B56" s="71"/>
      <c r="C56" s="72"/>
      <c r="D56" s="72"/>
      <c r="E56" s="72"/>
      <c r="F56" s="71"/>
      <c r="G56" s="194" t="s">
        <v>63</v>
      </c>
      <c r="H56" s="182"/>
      <c r="I56" s="182"/>
      <c r="J56" s="182"/>
      <c r="K56" s="182"/>
      <c r="L56" s="182"/>
      <c r="M56" s="183"/>
      <c r="N56" s="184" t="str">
        <f>M8</f>
        <v>SFF</v>
      </c>
      <c r="O56" s="185"/>
      <c r="P56" s="44">
        <f>COUNTIF(P9:P49,"SFF")</f>
        <v>0</v>
      </c>
      <c r="Q56" s="44">
        <f t="shared" ref="Q56:CB56" si="79">COUNTIF(Q9:Q49,"SFF")</f>
        <v>0</v>
      </c>
      <c r="R56" s="44">
        <f t="shared" si="79"/>
        <v>0</v>
      </c>
      <c r="S56" s="44">
        <f t="shared" si="79"/>
        <v>0</v>
      </c>
      <c r="T56" s="44">
        <f t="shared" si="79"/>
        <v>0</v>
      </c>
      <c r="U56" s="44">
        <f t="shared" si="79"/>
        <v>0</v>
      </c>
      <c r="V56" s="44">
        <f t="shared" si="79"/>
        <v>0</v>
      </c>
      <c r="W56" s="44">
        <f t="shared" si="79"/>
        <v>0</v>
      </c>
      <c r="X56" s="44">
        <f t="shared" si="79"/>
        <v>0</v>
      </c>
      <c r="Y56" s="44">
        <f t="shared" si="79"/>
        <v>0</v>
      </c>
      <c r="Z56" s="44">
        <f t="shared" si="79"/>
        <v>0</v>
      </c>
      <c r="AA56" s="44">
        <f t="shared" si="79"/>
        <v>0</v>
      </c>
      <c r="AB56" s="44">
        <f t="shared" si="79"/>
        <v>0</v>
      </c>
      <c r="AC56" s="44">
        <f t="shared" si="79"/>
        <v>0</v>
      </c>
      <c r="AD56" s="44">
        <f t="shared" si="79"/>
        <v>0</v>
      </c>
      <c r="AE56" s="44">
        <f t="shared" si="79"/>
        <v>0</v>
      </c>
      <c r="AF56" s="44">
        <f t="shared" si="79"/>
        <v>0</v>
      </c>
      <c r="AG56" s="44">
        <f t="shared" si="79"/>
        <v>0</v>
      </c>
      <c r="AH56" s="44">
        <f t="shared" si="79"/>
        <v>0</v>
      </c>
      <c r="AI56" s="44">
        <f t="shared" si="79"/>
        <v>0</v>
      </c>
      <c r="AJ56" s="44">
        <f t="shared" si="79"/>
        <v>0</v>
      </c>
      <c r="AK56" s="44">
        <f t="shared" si="79"/>
        <v>0</v>
      </c>
      <c r="AL56" s="44">
        <f t="shared" si="79"/>
        <v>0</v>
      </c>
      <c r="AM56" s="44">
        <f t="shared" si="79"/>
        <v>0</v>
      </c>
      <c r="AN56" s="44">
        <f t="shared" si="79"/>
        <v>0</v>
      </c>
      <c r="AO56" s="44">
        <f t="shared" si="79"/>
        <v>0</v>
      </c>
      <c r="AP56" s="44">
        <f t="shared" si="79"/>
        <v>0</v>
      </c>
      <c r="AQ56" s="44">
        <f t="shared" si="79"/>
        <v>0</v>
      </c>
      <c r="AR56" s="44">
        <f t="shared" si="79"/>
        <v>0</v>
      </c>
      <c r="AS56" s="44">
        <f t="shared" si="79"/>
        <v>0</v>
      </c>
      <c r="AT56" s="44">
        <f t="shared" si="79"/>
        <v>0</v>
      </c>
      <c r="AU56" s="44">
        <f t="shared" si="79"/>
        <v>0</v>
      </c>
      <c r="AV56" s="44">
        <f t="shared" si="79"/>
        <v>0</v>
      </c>
      <c r="AW56" s="44">
        <f t="shared" si="79"/>
        <v>0</v>
      </c>
      <c r="AX56" s="44">
        <f t="shared" si="79"/>
        <v>0</v>
      </c>
      <c r="AY56" s="44">
        <f t="shared" si="79"/>
        <v>0</v>
      </c>
      <c r="AZ56" s="44">
        <f t="shared" si="79"/>
        <v>0</v>
      </c>
      <c r="BA56" s="44">
        <f t="shared" si="79"/>
        <v>0</v>
      </c>
      <c r="BB56" s="44">
        <f t="shared" si="79"/>
        <v>0</v>
      </c>
      <c r="BC56" s="44">
        <f t="shared" si="79"/>
        <v>0</v>
      </c>
      <c r="BD56" s="44">
        <f t="shared" si="79"/>
        <v>0</v>
      </c>
      <c r="BE56" s="44">
        <f t="shared" si="79"/>
        <v>0</v>
      </c>
      <c r="BF56" s="44">
        <f t="shared" si="79"/>
        <v>0</v>
      </c>
      <c r="BG56" s="44">
        <f t="shared" si="79"/>
        <v>0</v>
      </c>
      <c r="BH56" s="44">
        <f t="shared" si="79"/>
        <v>0</v>
      </c>
      <c r="BI56" s="44">
        <f t="shared" si="79"/>
        <v>0</v>
      </c>
      <c r="BJ56" s="44">
        <f t="shared" si="79"/>
        <v>0</v>
      </c>
      <c r="BK56" s="44">
        <f t="shared" si="79"/>
        <v>0</v>
      </c>
      <c r="BL56" s="44">
        <f t="shared" si="79"/>
        <v>0</v>
      </c>
      <c r="BM56" s="44">
        <f t="shared" si="79"/>
        <v>0</v>
      </c>
      <c r="BN56" s="44">
        <f t="shared" si="79"/>
        <v>0</v>
      </c>
      <c r="BO56" s="44">
        <f t="shared" si="79"/>
        <v>0</v>
      </c>
      <c r="BP56" s="44">
        <f t="shared" si="79"/>
        <v>0</v>
      </c>
      <c r="BQ56" s="44">
        <f t="shared" si="79"/>
        <v>0</v>
      </c>
      <c r="BR56" s="44">
        <f t="shared" si="79"/>
        <v>0</v>
      </c>
      <c r="BS56" s="44">
        <f t="shared" si="79"/>
        <v>0</v>
      </c>
      <c r="BT56" s="44">
        <f t="shared" si="79"/>
        <v>0</v>
      </c>
      <c r="BU56" s="44">
        <f t="shared" si="79"/>
        <v>0</v>
      </c>
      <c r="BV56" s="44">
        <f t="shared" si="79"/>
        <v>0</v>
      </c>
      <c r="BW56" s="44">
        <f t="shared" si="79"/>
        <v>0</v>
      </c>
      <c r="BX56" s="44">
        <f t="shared" si="79"/>
        <v>0</v>
      </c>
      <c r="BY56" s="44">
        <f t="shared" si="79"/>
        <v>0</v>
      </c>
      <c r="BZ56" s="44">
        <f t="shared" si="79"/>
        <v>0</v>
      </c>
      <c r="CA56" s="44">
        <f t="shared" si="79"/>
        <v>0</v>
      </c>
      <c r="CB56" s="44">
        <f t="shared" si="79"/>
        <v>0</v>
      </c>
      <c r="CC56" s="44">
        <f t="shared" ref="CC56:CW56" si="80">COUNTIF(CC9:CC49,"SFF")</f>
        <v>0</v>
      </c>
      <c r="CD56" s="44">
        <f t="shared" si="80"/>
        <v>0</v>
      </c>
      <c r="CE56" s="44">
        <f t="shared" si="80"/>
        <v>0</v>
      </c>
      <c r="CF56" s="44">
        <f t="shared" si="80"/>
        <v>0</v>
      </c>
      <c r="CG56" s="44">
        <f t="shared" si="80"/>
        <v>0</v>
      </c>
      <c r="CH56" s="44">
        <f t="shared" si="80"/>
        <v>0</v>
      </c>
      <c r="CI56" s="44">
        <f t="shared" si="80"/>
        <v>0</v>
      </c>
      <c r="CJ56" s="44">
        <f t="shared" si="80"/>
        <v>0</v>
      </c>
      <c r="CK56" s="44">
        <f t="shared" si="80"/>
        <v>0</v>
      </c>
      <c r="CL56" s="44">
        <f t="shared" si="80"/>
        <v>0</v>
      </c>
      <c r="CM56" s="44">
        <f t="shared" si="80"/>
        <v>0</v>
      </c>
      <c r="CN56" s="44">
        <f t="shared" si="80"/>
        <v>0</v>
      </c>
      <c r="CO56" s="44">
        <f t="shared" si="80"/>
        <v>0</v>
      </c>
      <c r="CP56" s="44">
        <f t="shared" si="80"/>
        <v>0</v>
      </c>
      <c r="CQ56" s="44">
        <f t="shared" si="80"/>
        <v>0</v>
      </c>
      <c r="CR56" s="44">
        <f t="shared" si="80"/>
        <v>0</v>
      </c>
      <c r="CS56" s="44">
        <f t="shared" si="80"/>
        <v>0</v>
      </c>
      <c r="CT56" s="44">
        <f t="shared" si="80"/>
        <v>0</v>
      </c>
      <c r="CU56" s="44">
        <f t="shared" si="80"/>
        <v>0</v>
      </c>
      <c r="CV56" s="44">
        <f t="shared" si="80"/>
        <v>0</v>
      </c>
      <c r="CW56" s="44">
        <f t="shared" si="80"/>
        <v>0</v>
      </c>
      <c r="CX56" s="36"/>
      <c r="CY56" s="69"/>
      <c r="CZ56" s="36"/>
      <c r="DA56" s="69"/>
      <c r="DB56" s="36"/>
      <c r="DC56" s="69"/>
      <c r="DD56" s="36"/>
      <c r="DE56" s="69"/>
      <c r="DF56" s="36"/>
      <c r="DG56" s="69"/>
      <c r="DH56" s="36"/>
      <c r="DI56" s="69"/>
      <c r="DJ56" s="36"/>
      <c r="DK56" s="69"/>
      <c r="DL56" s="36"/>
      <c r="DM56" s="69"/>
      <c r="DN56" s="36"/>
      <c r="DO56" s="69"/>
      <c r="DP56" s="36"/>
      <c r="DQ56" s="69"/>
      <c r="DR56" s="36"/>
      <c r="DS56" s="69"/>
      <c r="DT56" s="36"/>
      <c r="DU56" s="69"/>
      <c r="DV56" s="37">
        <f t="shared" ref="DV56:DW56" si="81">CX56+CZ56+DB56+DD56+DF56+DH56+DJ56+DL56+DN56+DP56+DR56+DT56</f>
        <v>0</v>
      </c>
      <c r="DW56" s="38">
        <f t="shared" si="81"/>
        <v>0</v>
      </c>
    </row>
    <row r="57" spans="1:127" ht="15.75" customHeight="1">
      <c r="A57" s="70"/>
      <c r="B57" s="71"/>
      <c r="C57" s="72"/>
      <c r="D57" s="72"/>
      <c r="E57" s="72"/>
      <c r="F57" s="71"/>
      <c r="G57" s="195" t="s">
        <v>64</v>
      </c>
      <c r="H57" s="182"/>
      <c r="I57" s="182"/>
      <c r="J57" s="182"/>
      <c r="K57" s="182"/>
      <c r="L57" s="182"/>
      <c r="M57" s="183"/>
      <c r="N57" s="184" t="str">
        <f>N8</f>
        <v>RET</v>
      </c>
      <c r="O57" s="185"/>
      <c r="P57" s="44">
        <f>COUNTIF(P9:P49,"RET")</f>
        <v>0</v>
      </c>
      <c r="Q57" s="44">
        <f t="shared" ref="Q57:CB57" si="82">COUNTIF(Q9:Q49,"RET")</f>
        <v>0</v>
      </c>
      <c r="R57" s="44">
        <f t="shared" si="82"/>
        <v>0</v>
      </c>
      <c r="S57" s="44">
        <f t="shared" si="82"/>
        <v>0</v>
      </c>
      <c r="T57" s="44">
        <f t="shared" si="82"/>
        <v>0</v>
      </c>
      <c r="U57" s="44">
        <f t="shared" si="82"/>
        <v>0</v>
      </c>
      <c r="V57" s="44">
        <f t="shared" si="82"/>
        <v>0</v>
      </c>
      <c r="W57" s="44">
        <f t="shared" si="82"/>
        <v>0</v>
      </c>
      <c r="X57" s="44">
        <f t="shared" si="82"/>
        <v>0</v>
      </c>
      <c r="Y57" s="44">
        <f t="shared" si="82"/>
        <v>0</v>
      </c>
      <c r="Z57" s="44">
        <f t="shared" si="82"/>
        <v>0</v>
      </c>
      <c r="AA57" s="44">
        <f t="shared" si="82"/>
        <v>0</v>
      </c>
      <c r="AB57" s="44">
        <f t="shared" si="82"/>
        <v>0</v>
      </c>
      <c r="AC57" s="44">
        <f t="shared" si="82"/>
        <v>0</v>
      </c>
      <c r="AD57" s="44">
        <f t="shared" si="82"/>
        <v>1</v>
      </c>
      <c r="AE57" s="44">
        <f t="shared" si="82"/>
        <v>1</v>
      </c>
      <c r="AF57" s="44">
        <f t="shared" si="82"/>
        <v>0</v>
      </c>
      <c r="AG57" s="44">
        <f t="shared" si="82"/>
        <v>0</v>
      </c>
      <c r="AH57" s="44">
        <f t="shared" si="82"/>
        <v>1</v>
      </c>
      <c r="AI57" s="44">
        <f t="shared" si="82"/>
        <v>1</v>
      </c>
      <c r="AJ57" s="44">
        <f t="shared" si="82"/>
        <v>1</v>
      </c>
      <c r="AK57" s="44">
        <f t="shared" si="82"/>
        <v>1</v>
      </c>
      <c r="AL57" s="44">
        <f t="shared" si="82"/>
        <v>1</v>
      </c>
      <c r="AM57" s="44">
        <f t="shared" si="82"/>
        <v>1</v>
      </c>
      <c r="AN57" s="44">
        <f t="shared" si="82"/>
        <v>1</v>
      </c>
      <c r="AO57" s="44">
        <f t="shared" si="82"/>
        <v>1</v>
      </c>
      <c r="AP57" s="44">
        <f t="shared" si="82"/>
        <v>1</v>
      </c>
      <c r="AQ57" s="44">
        <f t="shared" si="82"/>
        <v>1</v>
      </c>
      <c r="AR57" s="44">
        <f t="shared" si="82"/>
        <v>1</v>
      </c>
      <c r="AS57" s="44">
        <f t="shared" si="82"/>
        <v>1</v>
      </c>
      <c r="AT57" s="44">
        <f t="shared" si="82"/>
        <v>1</v>
      </c>
      <c r="AU57" s="44">
        <f t="shared" si="82"/>
        <v>1</v>
      </c>
      <c r="AV57" s="44">
        <f t="shared" si="82"/>
        <v>1</v>
      </c>
      <c r="AW57" s="44">
        <f t="shared" si="82"/>
        <v>1</v>
      </c>
      <c r="AX57" s="44">
        <f t="shared" si="82"/>
        <v>1</v>
      </c>
      <c r="AY57" s="44">
        <f t="shared" si="82"/>
        <v>1</v>
      </c>
      <c r="AZ57" s="44">
        <f t="shared" si="82"/>
        <v>1</v>
      </c>
      <c r="BA57" s="44">
        <f t="shared" si="82"/>
        <v>1</v>
      </c>
      <c r="BB57" s="44">
        <f t="shared" si="82"/>
        <v>1</v>
      </c>
      <c r="BC57" s="44">
        <f t="shared" si="82"/>
        <v>1</v>
      </c>
      <c r="BD57" s="44">
        <f t="shared" si="82"/>
        <v>1</v>
      </c>
      <c r="BE57" s="44">
        <f t="shared" si="82"/>
        <v>1</v>
      </c>
      <c r="BF57" s="44">
        <f t="shared" si="82"/>
        <v>1</v>
      </c>
      <c r="BG57" s="44">
        <f t="shared" si="82"/>
        <v>1</v>
      </c>
      <c r="BH57" s="44">
        <f t="shared" si="82"/>
        <v>1</v>
      </c>
      <c r="BI57" s="44">
        <f t="shared" si="82"/>
        <v>1</v>
      </c>
      <c r="BJ57" s="44">
        <f t="shared" si="82"/>
        <v>1</v>
      </c>
      <c r="BK57" s="44">
        <f t="shared" si="82"/>
        <v>1</v>
      </c>
      <c r="BL57" s="44">
        <f t="shared" si="82"/>
        <v>1</v>
      </c>
      <c r="BM57" s="44">
        <f t="shared" si="82"/>
        <v>1</v>
      </c>
      <c r="BN57" s="44">
        <f t="shared" si="82"/>
        <v>1</v>
      </c>
      <c r="BO57" s="44">
        <f t="shared" si="82"/>
        <v>1</v>
      </c>
      <c r="BP57" s="44">
        <f t="shared" si="82"/>
        <v>1</v>
      </c>
      <c r="BQ57" s="44">
        <f t="shared" si="82"/>
        <v>1</v>
      </c>
      <c r="BR57" s="44">
        <f t="shared" si="82"/>
        <v>1</v>
      </c>
      <c r="BS57" s="44">
        <f t="shared" si="82"/>
        <v>1</v>
      </c>
      <c r="BT57" s="44">
        <f t="shared" si="82"/>
        <v>1</v>
      </c>
      <c r="BU57" s="44">
        <f t="shared" si="82"/>
        <v>1</v>
      </c>
      <c r="BV57" s="44">
        <f t="shared" si="82"/>
        <v>1</v>
      </c>
      <c r="BW57" s="44">
        <f t="shared" si="82"/>
        <v>1</v>
      </c>
      <c r="BX57" s="44">
        <f t="shared" si="82"/>
        <v>1</v>
      </c>
      <c r="BY57" s="44">
        <f t="shared" si="82"/>
        <v>1</v>
      </c>
      <c r="BZ57" s="44">
        <f t="shared" si="82"/>
        <v>1</v>
      </c>
      <c r="CA57" s="44">
        <f t="shared" si="82"/>
        <v>1</v>
      </c>
      <c r="CB57" s="44">
        <f t="shared" si="82"/>
        <v>1</v>
      </c>
      <c r="CC57" s="44">
        <f t="shared" ref="CC57:CW57" si="83">COUNTIF(CC9:CC49,"RET")</f>
        <v>1</v>
      </c>
      <c r="CD57" s="44">
        <f t="shared" si="83"/>
        <v>1</v>
      </c>
      <c r="CE57" s="44">
        <f t="shared" si="83"/>
        <v>1</v>
      </c>
      <c r="CF57" s="44">
        <f t="shared" si="83"/>
        <v>1</v>
      </c>
      <c r="CG57" s="44">
        <f t="shared" si="83"/>
        <v>1</v>
      </c>
      <c r="CH57" s="44">
        <f t="shared" si="83"/>
        <v>1</v>
      </c>
      <c r="CI57" s="44">
        <f t="shared" si="83"/>
        <v>1</v>
      </c>
      <c r="CJ57" s="44">
        <f t="shared" si="83"/>
        <v>1</v>
      </c>
      <c r="CK57" s="44">
        <f t="shared" si="83"/>
        <v>1</v>
      </c>
      <c r="CL57" s="44">
        <f t="shared" si="83"/>
        <v>1</v>
      </c>
      <c r="CM57" s="44">
        <f t="shared" si="83"/>
        <v>1</v>
      </c>
      <c r="CN57" s="44">
        <f t="shared" si="83"/>
        <v>1</v>
      </c>
      <c r="CO57" s="44">
        <f t="shared" si="83"/>
        <v>1</v>
      </c>
      <c r="CP57" s="44">
        <f t="shared" si="83"/>
        <v>1</v>
      </c>
      <c r="CQ57" s="44">
        <f t="shared" si="83"/>
        <v>1</v>
      </c>
      <c r="CR57" s="44">
        <f t="shared" si="83"/>
        <v>1</v>
      </c>
      <c r="CS57" s="44">
        <f t="shared" si="83"/>
        <v>1</v>
      </c>
      <c r="CT57" s="44">
        <f t="shared" si="83"/>
        <v>1</v>
      </c>
      <c r="CU57" s="44">
        <f t="shared" si="83"/>
        <v>1</v>
      </c>
      <c r="CV57" s="44">
        <f t="shared" si="83"/>
        <v>1</v>
      </c>
      <c r="CW57" s="44">
        <f t="shared" si="83"/>
        <v>1</v>
      </c>
      <c r="CX57" s="36"/>
      <c r="CY57" s="69"/>
      <c r="CZ57" s="36"/>
      <c r="DA57" s="69"/>
      <c r="DB57" s="36"/>
      <c r="DC57" s="69"/>
      <c r="DD57" s="36"/>
      <c r="DE57" s="69"/>
      <c r="DF57" s="36"/>
      <c r="DG57" s="69"/>
      <c r="DH57" s="36"/>
      <c r="DI57" s="69"/>
      <c r="DJ57" s="36"/>
      <c r="DK57" s="69"/>
      <c r="DL57" s="36"/>
      <c r="DM57" s="69"/>
      <c r="DN57" s="36"/>
      <c r="DO57" s="69"/>
      <c r="DP57" s="36"/>
      <c r="DQ57" s="69"/>
      <c r="DR57" s="36"/>
      <c r="DS57" s="69"/>
      <c r="DT57" s="36"/>
      <c r="DU57" s="69"/>
      <c r="DV57" s="37">
        <f t="shared" ref="DV57:DW57" si="84">CX57+CZ57+DB57+DD57+DF57+DH57+DJ57+DL57+DN57+DP57+DR57+DT57</f>
        <v>0</v>
      </c>
      <c r="DW57" s="38">
        <f t="shared" si="84"/>
        <v>0</v>
      </c>
    </row>
    <row r="58" spans="1:127" ht="15.75" customHeight="1">
      <c r="A58" s="70"/>
      <c r="B58" s="71"/>
      <c r="C58" s="72"/>
      <c r="D58" s="72"/>
      <c r="E58" s="72"/>
      <c r="F58" s="71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  <c r="CI58" s="72"/>
      <c r="CJ58" s="72"/>
      <c r="CK58" s="72"/>
      <c r="CL58" s="72"/>
      <c r="CM58" s="72"/>
      <c r="CN58" s="72"/>
      <c r="CO58" s="72"/>
      <c r="CP58" s="72"/>
      <c r="CQ58" s="72"/>
      <c r="CR58" s="72"/>
      <c r="CS58" s="72"/>
      <c r="CT58" s="72"/>
      <c r="CU58" s="72"/>
      <c r="CV58" s="72"/>
      <c r="CW58" s="72"/>
      <c r="CX58" s="72"/>
      <c r="CY58" s="72"/>
      <c r="CZ58" s="72"/>
      <c r="DA58" s="72"/>
      <c r="DB58" s="72"/>
      <c r="DC58" s="72"/>
      <c r="DD58" s="72"/>
      <c r="DE58" s="72"/>
      <c r="DF58" s="72"/>
      <c r="DG58" s="72"/>
      <c r="DH58" s="72"/>
      <c r="DI58" s="72"/>
      <c r="DJ58" s="72"/>
      <c r="DK58" s="72"/>
      <c r="DL58" s="72"/>
      <c r="DM58" s="72"/>
      <c r="DN58" s="72"/>
      <c r="DO58" s="72"/>
      <c r="DP58" s="72"/>
      <c r="DQ58" s="72"/>
      <c r="DR58" s="72"/>
      <c r="DS58" s="72"/>
      <c r="DT58" s="72"/>
      <c r="DU58" s="72"/>
      <c r="DV58" s="72"/>
      <c r="DW58" s="72"/>
    </row>
    <row r="59" spans="1:127" ht="15.75" customHeight="1">
      <c r="A59" s="70"/>
      <c r="B59" s="71"/>
      <c r="C59" s="72"/>
      <c r="D59" s="72"/>
      <c r="E59" s="72"/>
      <c r="F59" s="71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2"/>
      <c r="CS59" s="72"/>
      <c r="CT59" s="72"/>
      <c r="CU59" s="72"/>
      <c r="CV59" s="72"/>
      <c r="CW59" s="72"/>
      <c r="CX59" s="72"/>
      <c r="CY59" s="72"/>
      <c r="CZ59" s="72"/>
      <c r="DA59" s="72"/>
      <c r="DB59" s="72"/>
      <c r="DC59" s="72"/>
      <c r="DD59" s="72"/>
      <c r="DE59" s="72"/>
      <c r="DF59" s="72"/>
      <c r="DG59" s="72"/>
      <c r="DH59" s="72"/>
      <c r="DI59" s="72"/>
      <c r="DJ59" s="72"/>
      <c r="DK59" s="72"/>
      <c r="DL59" s="72"/>
      <c r="DM59" s="72"/>
      <c r="DN59" s="72"/>
      <c r="DO59" s="72"/>
      <c r="DP59" s="72"/>
      <c r="DQ59" s="72"/>
      <c r="DR59" s="72"/>
      <c r="DS59" s="72"/>
      <c r="DT59" s="72"/>
      <c r="DU59" s="72"/>
      <c r="DV59" s="72"/>
      <c r="DW59" s="72"/>
    </row>
    <row r="60" spans="1:127" ht="15.75" customHeight="1">
      <c r="A60" s="70"/>
      <c r="B60" s="71"/>
      <c r="C60" s="72"/>
      <c r="D60" s="72"/>
      <c r="E60" s="72"/>
      <c r="F60" s="71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  <c r="CI60" s="72"/>
      <c r="CJ60" s="72"/>
      <c r="CK60" s="72"/>
      <c r="CL60" s="72"/>
      <c r="CM60" s="72"/>
      <c r="CN60" s="72"/>
      <c r="CO60" s="72"/>
      <c r="CP60" s="72"/>
      <c r="CQ60" s="72"/>
      <c r="CR60" s="72"/>
      <c r="CS60" s="72"/>
      <c r="CT60" s="72"/>
      <c r="CU60" s="72"/>
      <c r="CV60" s="72"/>
      <c r="CW60" s="72"/>
      <c r="CX60" s="72"/>
      <c r="CY60" s="72"/>
      <c r="CZ60" s="72"/>
      <c r="DA60" s="72"/>
      <c r="DB60" s="72"/>
      <c r="DC60" s="72"/>
      <c r="DD60" s="72"/>
      <c r="DE60" s="72"/>
      <c r="DF60" s="72"/>
      <c r="DG60" s="72"/>
      <c r="DH60" s="72"/>
      <c r="DI60" s="72"/>
      <c r="DJ60" s="72"/>
      <c r="DK60" s="72"/>
      <c r="DL60" s="72"/>
      <c r="DM60" s="72"/>
      <c r="DN60" s="72"/>
      <c r="DO60" s="72"/>
      <c r="DP60" s="72"/>
      <c r="DQ60" s="72"/>
      <c r="DR60" s="72"/>
      <c r="DS60" s="72"/>
      <c r="DT60" s="72"/>
      <c r="DU60" s="72"/>
      <c r="DV60" s="72"/>
      <c r="DW60" s="72"/>
    </row>
    <row r="61" spans="1:127" ht="15.75" customHeight="1">
      <c r="A61" s="70"/>
      <c r="B61" s="71"/>
      <c r="C61" s="73"/>
      <c r="D61" s="72"/>
      <c r="E61" s="72"/>
      <c r="F61" s="7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</row>
    <row r="62" spans="1:127" ht="15.75" customHeight="1">
      <c r="A62" s="70"/>
      <c r="B62" s="71"/>
      <c r="C62" s="72"/>
      <c r="D62" s="72"/>
      <c r="E62" s="72"/>
      <c r="F62" s="7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</row>
    <row r="63" spans="1:127" ht="15.75" customHeight="1">
      <c r="A63" s="46"/>
      <c r="B63" s="45"/>
      <c r="C63" s="1"/>
      <c r="D63" s="1"/>
      <c r="E63" s="1"/>
      <c r="F63" s="4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</row>
    <row r="64" spans="1:127" ht="15.75" customHeight="1">
      <c r="A64" s="46"/>
      <c r="B64" s="45"/>
      <c r="C64" s="1"/>
      <c r="D64" s="1"/>
      <c r="E64" s="1"/>
      <c r="F64" s="4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</row>
    <row r="65" spans="1:127" ht="15.75" customHeight="1">
      <c r="A65" s="46"/>
      <c r="B65" s="45"/>
      <c r="C65" s="1"/>
      <c r="D65" s="1"/>
      <c r="E65" s="1"/>
      <c r="F65" s="4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</row>
    <row r="66" spans="1:127" ht="15.75" customHeight="1">
      <c r="A66" s="46"/>
      <c r="B66" s="45"/>
      <c r="C66" s="1"/>
      <c r="D66" s="1"/>
      <c r="E66" s="1"/>
      <c r="F66" s="4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</row>
    <row r="67" spans="1:127" ht="15.75" customHeight="1">
      <c r="A67" s="46"/>
      <c r="B67" s="45"/>
      <c r="C67" s="1"/>
      <c r="D67" s="1"/>
      <c r="E67" s="1"/>
      <c r="F67" s="4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</row>
    <row r="68" spans="1:127" ht="15.75" customHeight="1">
      <c r="A68" s="46"/>
      <c r="B68" s="45"/>
      <c r="C68" s="1"/>
      <c r="D68" s="1"/>
      <c r="E68" s="1"/>
      <c r="F68" s="4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</row>
    <row r="69" spans="1:127" ht="15.75" customHeight="1">
      <c r="A69" s="46"/>
      <c r="B69" s="45"/>
      <c r="C69" s="1"/>
      <c r="D69" s="1"/>
      <c r="E69" s="1"/>
      <c r="F69" s="4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</row>
    <row r="70" spans="1:127" ht="15.75" customHeight="1">
      <c r="A70" s="46"/>
      <c r="B70" s="45"/>
      <c r="C70" s="1"/>
      <c r="D70" s="1"/>
      <c r="E70" s="1"/>
      <c r="F70" s="4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</row>
    <row r="71" spans="1:127" ht="15.75" customHeight="1">
      <c r="A71" s="46"/>
      <c r="B71" s="45"/>
      <c r="C71" s="1"/>
      <c r="D71" s="1"/>
      <c r="E71" s="1"/>
      <c r="F71" s="4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</row>
    <row r="72" spans="1:127" ht="15.75" customHeight="1">
      <c r="A72" s="46"/>
      <c r="B72" s="45"/>
      <c r="C72" s="1"/>
      <c r="D72" s="1"/>
      <c r="E72" s="1"/>
      <c r="F72" s="4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</row>
    <row r="73" spans="1:127" ht="15.75" customHeight="1">
      <c r="A73" s="46"/>
      <c r="B73" s="45"/>
      <c r="C73" s="1"/>
      <c r="D73" s="1"/>
      <c r="E73" s="1"/>
      <c r="F73" s="4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</row>
    <row r="74" spans="1:127" ht="15.75" customHeight="1">
      <c r="A74" s="46"/>
      <c r="B74" s="45"/>
      <c r="C74" s="1"/>
      <c r="D74" s="1"/>
      <c r="E74" s="1"/>
      <c r="F74" s="4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</row>
    <row r="75" spans="1:127" ht="15.75" customHeight="1">
      <c r="A75" s="46"/>
      <c r="B75" s="45"/>
      <c r="C75" s="1"/>
      <c r="D75" s="1"/>
      <c r="E75" s="1"/>
      <c r="F75" s="4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</row>
    <row r="76" spans="1:127" ht="15.75" customHeight="1">
      <c r="A76" s="46"/>
      <c r="B76" s="45"/>
      <c r="C76" s="1"/>
      <c r="D76" s="1"/>
      <c r="E76" s="1"/>
      <c r="F76" s="4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</row>
    <row r="77" spans="1:127" ht="15.75" customHeight="1">
      <c r="A77" s="46"/>
      <c r="B77" s="45"/>
      <c r="C77" s="1"/>
      <c r="D77" s="1"/>
      <c r="E77" s="1"/>
      <c r="F77" s="4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</row>
    <row r="78" spans="1:127" ht="15.75" customHeight="1">
      <c r="A78" s="46"/>
      <c r="B78" s="45"/>
      <c r="C78" s="1"/>
      <c r="D78" s="1"/>
      <c r="E78" s="1"/>
      <c r="F78" s="4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</row>
    <row r="79" spans="1:127" ht="15.75" customHeight="1">
      <c r="A79" s="46"/>
      <c r="B79" s="45"/>
      <c r="C79" s="1"/>
      <c r="D79" s="1"/>
      <c r="E79" s="1"/>
      <c r="F79" s="4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</row>
    <row r="80" spans="1:127" ht="15.75" customHeight="1">
      <c r="A80" s="46"/>
      <c r="B80" s="45"/>
      <c r="C80" s="1"/>
      <c r="D80" s="1"/>
      <c r="E80" s="1"/>
      <c r="F80" s="4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</row>
    <row r="81" spans="1:127" ht="15.75" customHeight="1">
      <c r="A81" s="46"/>
      <c r="B81" s="45"/>
      <c r="C81" s="1"/>
      <c r="D81" s="1"/>
      <c r="E81" s="1"/>
      <c r="F81" s="4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</row>
    <row r="82" spans="1:127" ht="15.75" customHeight="1">
      <c r="A82" s="46"/>
      <c r="B82" s="45"/>
      <c r="C82" s="1"/>
      <c r="D82" s="1"/>
      <c r="E82" s="1"/>
      <c r="F82" s="4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</row>
    <row r="83" spans="1:127" ht="15.75" customHeight="1">
      <c r="A83" s="46"/>
      <c r="B83" s="45"/>
      <c r="C83" s="1"/>
      <c r="D83" s="1"/>
      <c r="E83" s="1"/>
      <c r="F83" s="4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</row>
    <row r="84" spans="1:127" ht="15.75" customHeight="1">
      <c r="A84" s="46"/>
      <c r="B84" s="45"/>
      <c r="C84" s="1"/>
      <c r="D84" s="1"/>
      <c r="E84" s="1"/>
      <c r="F84" s="4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</row>
    <row r="85" spans="1:127" ht="15.75" customHeight="1">
      <c r="A85" s="46"/>
      <c r="B85" s="45"/>
      <c r="C85" s="1"/>
      <c r="D85" s="1"/>
      <c r="E85" s="1"/>
      <c r="F85" s="4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</row>
    <row r="86" spans="1:127" ht="15.75" customHeight="1">
      <c r="A86" s="46"/>
      <c r="B86" s="45"/>
      <c r="C86" s="1"/>
      <c r="D86" s="1"/>
      <c r="E86" s="1"/>
      <c r="F86" s="4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</row>
    <row r="87" spans="1:127" ht="15.75" customHeight="1">
      <c r="A87" s="46"/>
      <c r="B87" s="45"/>
      <c r="C87" s="1"/>
      <c r="D87" s="1"/>
      <c r="E87" s="1"/>
      <c r="F87" s="4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</row>
    <row r="88" spans="1:127" ht="15.75" customHeight="1">
      <c r="A88" s="46"/>
      <c r="B88" s="45"/>
      <c r="C88" s="1"/>
      <c r="D88" s="1"/>
      <c r="E88" s="1"/>
      <c r="F88" s="4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</row>
    <row r="89" spans="1:127" ht="15.75" customHeight="1">
      <c r="A89" s="46"/>
      <c r="B89" s="45"/>
      <c r="C89" s="1"/>
      <c r="D89" s="1"/>
      <c r="E89" s="1"/>
      <c r="F89" s="4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</row>
    <row r="90" spans="1:127" ht="15.75" customHeight="1">
      <c r="A90" s="46"/>
      <c r="B90" s="45"/>
      <c r="C90" s="1"/>
      <c r="D90" s="1"/>
      <c r="E90" s="1"/>
      <c r="F90" s="4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</row>
    <row r="91" spans="1:127" ht="15.75" customHeight="1">
      <c r="A91" s="46"/>
      <c r="B91" s="45"/>
      <c r="C91" s="1"/>
      <c r="D91" s="1"/>
      <c r="E91" s="1"/>
      <c r="F91" s="4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</row>
    <row r="92" spans="1:127" ht="15.75" customHeight="1">
      <c r="A92" s="46"/>
      <c r="B92" s="45"/>
      <c r="C92" s="1"/>
      <c r="D92" s="1"/>
      <c r="E92" s="1"/>
      <c r="F92" s="4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</row>
    <row r="93" spans="1:127" ht="15.75" customHeight="1">
      <c r="A93" s="46"/>
      <c r="B93" s="45"/>
      <c r="C93" s="1"/>
      <c r="D93" s="1"/>
      <c r="E93" s="1"/>
      <c r="F93" s="4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</row>
    <row r="94" spans="1:127" ht="15.75" customHeight="1">
      <c r="A94" s="46"/>
      <c r="B94" s="45"/>
      <c r="C94" s="1"/>
      <c r="D94" s="1"/>
      <c r="E94" s="1"/>
      <c r="F94" s="4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</row>
    <row r="95" spans="1:127" ht="15.75" customHeight="1">
      <c r="A95" s="46"/>
      <c r="B95" s="45"/>
      <c r="C95" s="1"/>
      <c r="D95" s="1"/>
      <c r="E95" s="1"/>
      <c r="F95" s="4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</row>
    <row r="96" spans="1:127" ht="15.75" customHeight="1">
      <c r="A96" s="46"/>
      <c r="B96" s="45"/>
      <c r="C96" s="1"/>
      <c r="D96" s="1"/>
      <c r="E96" s="1"/>
      <c r="F96" s="4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</row>
    <row r="97" spans="1:127" ht="15.75" customHeight="1">
      <c r="A97" s="46"/>
      <c r="B97" s="45"/>
      <c r="C97" s="1"/>
      <c r="D97" s="1"/>
      <c r="E97" s="1"/>
      <c r="F97" s="4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</row>
    <row r="98" spans="1:127" ht="15.75" customHeight="1">
      <c r="A98" s="46"/>
      <c r="B98" s="45"/>
      <c r="C98" s="1"/>
      <c r="D98" s="1"/>
      <c r="E98" s="1"/>
      <c r="F98" s="4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</row>
    <row r="99" spans="1:127" ht="15.75" customHeight="1">
      <c r="A99" s="46"/>
      <c r="B99" s="45"/>
      <c r="C99" s="1"/>
      <c r="D99" s="1"/>
      <c r="E99" s="1"/>
      <c r="F99" s="4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</row>
    <row r="100" spans="1:127" ht="15.75" customHeight="1">
      <c r="A100" s="46"/>
      <c r="B100" s="45"/>
      <c r="C100" s="1"/>
      <c r="D100" s="1"/>
      <c r="E100" s="1"/>
      <c r="F100" s="4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</row>
    <row r="101" spans="1:127" ht="15.75" customHeight="1">
      <c r="A101" s="46"/>
      <c r="B101" s="45"/>
      <c r="C101" s="1"/>
      <c r="D101" s="1"/>
      <c r="E101" s="1"/>
      <c r="F101" s="4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</row>
    <row r="102" spans="1:127" ht="15.75" customHeight="1">
      <c r="A102" s="46"/>
      <c r="B102" s="45"/>
      <c r="C102" s="1"/>
      <c r="D102" s="1"/>
      <c r="E102" s="1"/>
      <c r="F102" s="4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</row>
    <row r="103" spans="1:127" ht="15.75" customHeight="1">
      <c r="A103" s="46"/>
      <c r="B103" s="45"/>
      <c r="C103" s="1"/>
      <c r="D103" s="1"/>
      <c r="E103" s="1"/>
      <c r="F103" s="4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</row>
    <row r="104" spans="1:127" ht="15.75" customHeight="1">
      <c r="A104" s="46"/>
      <c r="B104" s="45"/>
      <c r="C104" s="1"/>
      <c r="D104" s="1"/>
      <c r="E104" s="1"/>
      <c r="F104" s="4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</row>
    <row r="105" spans="1:127" ht="15.75" customHeight="1">
      <c r="A105" s="46"/>
      <c r="B105" s="45"/>
      <c r="C105" s="1"/>
      <c r="D105" s="1"/>
      <c r="E105" s="1"/>
      <c r="F105" s="4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</row>
    <row r="106" spans="1:127" ht="15.75" customHeight="1">
      <c r="A106" s="46"/>
      <c r="B106" s="45"/>
      <c r="C106" s="1"/>
      <c r="D106" s="1"/>
      <c r="E106" s="1"/>
      <c r="F106" s="4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</row>
    <row r="107" spans="1:127" ht="15.75" customHeight="1">
      <c r="A107" s="46"/>
      <c r="B107" s="45"/>
      <c r="C107" s="1"/>
      <c r="D107" s="1"/>
      <c r="E107" s="1"/>
      <c r="F107" s="4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</row>
    <row r="108" spans="1:127" ht="15.75" customHeight="1">
      <c r="A108" s="46"/>
      <c r="B108" s="45"/>
      <c r="C108" s="1"/>
      <c r="D108" s="1"/>
      <c r="E108" s="1"/>
      <c r="F108" s="4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</row>
    <row r="109" spans="1:127" ht="15.75" customHeight="1">
      <c r="A109" s="46"/>
      <c r="B109" s="45"/>
      <c r="C109" s="1"/>
      <c r="D109" s="1"/>
      <c r="E109" s="1"/>
      <c r="F109" s="4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</row>
    <row r="110" spans="1:127" ht="15.75" customHeight="1">
      <c r="A110" s="46"/>
      <c r="B110" s="45"/>
      <c r="C110" s="1"/>
      <c r="D110" s="1"/>
      <c r="E110" s="1"/>
      <c r="F110" s="4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</row>
    <row r="111" spans="1:127" ht="15.75" customHeight="1">
      <c r="A111" s="46"/>
      <c r="B111" s="45"/>
      <c r="C111" s="1"/>
      <c r="D111" s="1"/>
      <c r="E111" s="1"/>
      <c r="F111" s="4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</row>
    <row r="112" spans="1:127" ht="15.75" customHeight="1">
      <c r="A112" s="46"/>
      <c r="B112" s="45"/>
      <c r="C112" s="1"/>
      <c r="D112" s="1"/>
      <c r="E112" s="1"/>
      <c r="F112" s="4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</row>
    <row r="113" spans="1:127" ht="15.75" customHeight="1">
      <c r="A113" s="46"/>
      <c r="B113" s="45"/>
      <c r="C113" s="1"/>
      <c r="D113" s="1"/>
      <c r="E113" s="1"/>
      <c r="F113" s="4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</row>
    <row r="114" spans="1:127" ht="15.75" customHeight="1">
      <c r="A114" s="46"/>
      <c r="B114" s="45"/>
      <c r="C114" s="1"/>
      <c r="D114" s="1"/>
      <c r="E114" s="1"/>
      <c r="F114" s="4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</row>
    <row r="115" spans="1:127" ht="15.75" customHeight="1">
      <c r="A115" s="46"/>
      <c r="B115" s="45"/>
      <c r="C115" s="1"/>
      <c r="D115" s="1"/>
      <c r="E115" s="1"/>
      <c r="F115" s="4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</row>
    <row r="116" spans="1:127" ht="15.75" customHeight="1">
      <c r="A116" s="46"/>
      <c r="B116" s="45"/>
      <c r="C116" s="1"/>
      <c r="D116" s="1"/>
      <c r="E116" s="1"/>
      <c r="F116" s="4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</row>
    <row r="117" spans="1:127" ht="15.75" customHeight="1">
      <c r="A117" s="46"/>
      <c r="B117" s="45"/>
      <c r="C117" s="1"/>
      <c r="D117" s="1"/>
      <c r="E117" s="1"/>
      <c r="F117" s="4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</row>
    <row r="118" spans="1:127" ht="15.75" customHeight="1">
      <c r="A118" s="46"/>
      <c r="B118" s="45"/>
      <c r="C118" s="1"/>
      <c r="D118" s="1"/>
      <c r="E118" s="1"/>
      <c r="F118" s="4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</row>
    <row r="119" spans="1:127" ht="15.75" customHeight="1">
      <c r="A119" s="46"/>
      <c r="B119" s="45"/>
      <c r="C119" s="1"/>
      <c r="D119" s="1"/>
      <c r="E119" s="1"/>
      <c r="F119" s="4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</row>
    <row r="120" spans="1:127" ht="15.75" customHeight="1">
      <c r="A120" s="46"/>
      <c r="B120" s="45"/>
      <c r="C120" s="1"/>
      <c r="D120" s="1"/>
      <c r="E120" s="1"/>
      <c r="F120" s="4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</row>
    <row r="121" spans="1:127" ht="15.75" customHeight="1">
      <c r="A121" s="46"/>
      <c r="B121" s="45"/>
      <c r="C121" s="1"/>
      <c r="D121" s="1"/>
      <c r="E121" s="1"/>
      <c r="F121" s="4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</row>
    <row r="122" spans="1:127" ht="15.75" customHeight="1">
      <c r="A122" s="46"/>
      <c r="B122" s="45"/>
      <c r="C122" s="1"/>
      <c r="D122" s="1"/>
      <c r="E122" s="1"/>
      <c r="F122" s="4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</row>
    <row r="123" spans="1:127" ht="15.75" customHeight="1">
      <c r="A123" s="46"/>
      <c r="B123" s="45"/>
      <c r="C123" s="1"/>
      <c r="D123" s="1"/>
      <c r="E123" s="1"/>
      <c r="F123" s="4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</row>
    <row r="124" spans="1:127" ht="15.75" customHeight="1">
      <c r="A124" s="46"/>
      <c r="B124" s="45"/>
      <c r="C124" s="1"/>
      <c r="D124" s="1"/>
      <c r="E124" s="1"/>
      <c r="F124" s="4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</row>
    <row r="125" spans="1:127" ht="15.75" customHeight="1">
      <c r="A125" s="46"/>
      <c r="B125" s="45"/>
      <c r="C125" s="1"/>
      <c r="D125" s="1"/>
      <c r="E125" s="1"/>
      <c r="F125" s="4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</row>
    <row r="126" spans="1:127" ht="15.75" customHeight="1">
      <c r="A126" s="46"/>
      <c r="B126" s="45"/>
      <c r="C126" s="1"/>
      <c r="D126" s="1"/>
      <c r="E126" s="1"/>
      <c r="F126" s="4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</row>
    <row r="127" spans="1:127" ht="15.75" customHeight="1">
      <c r="A127" s="46"/>
      <c r="B127" s="45"/>
      <c r="C127" s="1"/>
      <c r="D127" s="1"/>
      <c r="E127" s="1"/>
      <c r="F127" s="4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</row>
    <row r="128" spans="1:127" ht="15.75" customHeight="1">
      <c r="A128" s="46"/>
      <c r="B128" s="45"/>
      <c r="C128" s="1"/>
      <c r="D128" s="1"/>
      <c r="E128" s="1"/>
      <c r="F128" s="4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</row>
    <row r="129" spans="1:127" ht="15.75" customHeight="1">
      <c r="A129" s="46"/>
      <c r="B129" s="45"/>
      <c r="C129" s="1"/>
      <c r="D129" s="1"/>
      <c r="E129" s="1"/>
      <c r="F129" s="4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</row>
    <row r="130" spans="1:127" ht="15.75" customHeight="1">
      <c r="A130" s="46"/>
      <c r="B130" s="45"/>
      <c r="C130" s="1"/>
      <c r="D130" s="1"/>
      <c r="E130" s="1"/>
      <c r="F130" s="4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</row>
    <row r="131" spans="1:127" ht="15.75" customHeight="1">
      <c r="A131" s="46"/>
      <c r="B131" s="45"/>
      <c r="C131" s="1"/>
      <c r="D131" s="1"/>
      <c r="E131" s="1"/>
      <c r="F131" s="4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</row>
    <row r="132" spans="1:127" ht="15.75" customHeight="1">
      <c r="A132" s="46"/>
      <c r="B132" s="45"/>
      <c r="C132" s="1"/>
      <c r="D132" s="1"/>
      <c r="E132" s="1"/>
      <c r="F132" s="4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</row>
    <row r="133" spans="1:127" ht="15.75" customHeight="1">
      <c r="A133" s="46"/>
      <c r="B133" s="45"/>
      <c r="C133" s="1"/>
      <c r="D133" s="1"/>
      <c r="E133" s="1"/>
      <c r="F133" s="4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</row>
    <row r="134" spans="1:127" ht="15.75" customHeight="1">
      <c r="A134" s="46"/>
      <c r="B134" s="45"/>
      <c r="C134" s="1"/>
      <c r="D134" s="1"/>
      <c r="E134" s="1"/>
      <c r="F134" s="4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</row>
    <row r="135" spans="1:127" ht="15.75" customHeight="1">
      <c r="A135" s="46"/>
      <c r="B135" s="45"/>
      <c r="C135" s="1"/>
      <c r="D135" s="1"/>
      <c r="E135" s="1"/>
      <c r="F135" s="4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</row>
    <row r="136" spans="1:127" ht="15.75" customHeight="1">
      <c r="A136" s="46"/>
      <c r="B136" s="45"/>
      <c r="C136" s="1"/>
      <c r="D136" s="1"/>
      <c r="E136" s="1"/>
      <c r="F136" s="4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</row>
    <row r="137" spans="1:127" ht="15.75" customHeight="1">
      <c r="A137" s="46"/>
      <c r="B137" s="45"/>
      <c r="C137" s="1"/>
      <c r="D137" s="1"/>
      <c r="E137" s="1"/>
      <c r="F137" s="4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</row>
    <row r="138" spans="1:127" ht="15.75" customHeight="1">
      <c r="A138" s="46"/>
      <c r="B138" s="45"/>
      <c r="C138" s="1"/>
      <c r="D138" s="1"/>
      <c r="E138" s="1"/>
      <c r="F138" s="4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</row>
    <row r="139" spans="1:127" ht="15.75" customHeight="1">
      <c r="A139" s="46"/>
      <c r="B139" s="45"/>
      <c r="C139" s="1"/>
      <c r="D139" s="1"/>
      <c r="E139" s="1"/>
      <c r="F139" s="4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</row>
    <row r="140" spans="1:127" ht="15.75" customHeight="1">
      <c r="A140" s="46"/>
      <c r="B140" s="45"/>
      <c r="C140" s="1"/>
      <c r="D140" s="1"/>
      <c r="E140" s="1"/>
      <c r="F140" s="4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</row>
    <row r="141" spans="1:127" ht="15.75" customHeight="1">
      <c r="A141" s="46"/>
      <c r="B141" s="45"/>
      <c r="C141" s="1"/>
      <c r="D141" s="1"/>
      <c r="E141" s="1"/>
      <c r="F141" s="4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</row>
    <row r="142" spans="1:127" ht="15.75" customHeight="1">
      <c r="A142" s="46"/>
      <c r="B142" s="45"/>
      <c r="C142" s="1"/>
      <c r="D142" s="1"/>
      <c r="E142" s="1"/>
      <c r="F142" s="4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</row>
    <row r="143" spans="1:127" ht="15.75" customHeight="1">
      <c r="A143" s="46"/>
      <c r="B143" s="45"/>
      <c r="C143" s="1"/>
      <c r="D143" s="1"/>
      <c r="E143" s="1"/>
      <c r="F143" s="4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</row>
    <row r="144" spans="1:127" ht="15.75" customHeight="1">
      <c r="A144" s="46"/>
      <c r="B144" s="45"/>
      <c r="C144" s="1"/>
      <c r="D144" s="1"/>
      <c r="E144" s="1"/>
      <c r="F144" s="4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</row>
    <row r="145" spans="1:127" ht="15.75" customHeight="1">
      <c r="A145" s="46"/>
      <c r="B145" s="45"/>
      <c r="C145" s="1"/>
      <c r="D145" s="1"/>
      <c r="E145" s="1"/>
      <c r="F145" s="4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</row>
    <row r="146" spans="1:127" ht="15.75" customHeight="1">
      <c r="A146" s="46"/>
      <c r="B146" s="45"/>
      <c r="C146" s="1"/>
      <c r="D146" s="1"/>
      <c r="E146" s="1"/>
      <c r="F146" s="4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</row>
    <row r="147" spans="1:127" ht="15.75" customHeight="1">
      <c r="A147" s="46"/>
      <c r="B147" s="45"/>
      <c r="C147" s="1"/>
      <c r="D147" s="1"/>
      <c r="E147" s="1"/>
      <c r="F147" s="4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</row>
    <row r="148" spans="1:127" ht="15.75" customHeight="1">
      <c r="A148" s="46"/>
      <c r="B148" s="45"/>
      <c r="C148" s="1"/>
      <c r="D148" s="1"/>
      <c r="E148" s="1"/>
      <c r="F148" s="4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</row>
    <row r="149" spans="1:127" ht="15.75" customHeight="1">
      <c r="A149" s="46"/>
      <c r="B149" s="45"/>
      <c r="C149" s="1"/>
      <c r="D149" s="1"/>
      <c r="E149" s="1"/>
      <c r="F149" s="4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</row>
    <row r="150" spans="1:127" ht="15.75" customHeight="1">
      <c r="A150" s="46"/>
      <c r="B150" s="45"/>
      <c r="C150" s="1"/>
      <c r="D150" s="1"/>
      <c r="E150" s="1"/>
      <c r="F150" s="4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</row>
    <row r="151" spans="1:127" ht="15.75" customHeight="1">
      <c r="A151" s="46"/>
      <c r="B151" s="45"/>
      <c r="C151" s="1"/>
      <c r="D151" s="1"/>
      <c r="E151" s="1"/>
      <c r="F151" s="4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</row>
    <row r="152" spans="1:127" ht="15.75" customHeight="1">
      <c r="A152" s="46"/>
      <c r="B152" s="45"/>
      <c r="C152" s="1"/>
      <c r="D152" s="1"/>
      <c r="E152" s="1"/>
      <c r="F152" s="4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</row>
    <row r="153" spans="1:127" ht="15.75" customHeight="1">
      <c r="A153" s="46"/>
      <c r="B153" s="45"/>
      <c r="C153" s="1"/>
      <c r="D153" s="1"/>
      <c r="E153" s="1"/>
      <c r="F153" s="4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</row>
    <row r="154" spans="1:127" ht="15.75" customHeight="1">
      <c r="A154" s="46"/>
      <c r="B154" s="45"/>
      <c r="C154" s="1"/>
      <c r="D154" s="1"/>
      <c r="E154" s="1"/>
      <c r="F154" s="4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</row>
    <row r="155" spans="1:127" ht="15.75" customHeight="1">
      <c r="A155" s="46"/>
      <c r="B155" s="45"/>
      <c r="C155" s="1"/>
      <c r="D155" s="1"/>
      <c r="E155" s="1"/>
      <c r="F155" s="4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</row>
    <row r="156" spans="1:127" ht="15.75" customHeight="1">
      <c r="A156" s="46"/>
      <c r="B156" s="45"/>
      <c r="C156" s="1"/>
      <c r="D156" s="1"/>
      <c r="E156" s="1"/>
      <c r="F156" s="4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</row>
    <row r="157" spans="1:127" ht="15.75" customHeight="1">
      <c r="A157" s="46"/>
      <c r="B157" s="45"/>
      <c r="C157" s="1"/>
      <c r="D157" s="1"/>
      <c r="E157" s="1"/>
      <c r="F157" s="4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</row>
    <row r="158" spans="1:127" ht="15.75" customHeight="1">
      <c r="A158" s="46"/>
      <c r="B158" s="45"/>
      <c r="C158" s="1"/>
      <c r="D158" s="1"/>
      <c r="E158" s="1"/>
      <c r="F158" s="4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</row>
    <row r="159" spans="1:127" ht="15.75" customHeight="1">
      <c r="A159" s="46"/>
      <c r="B159" s="45"/>
      <c r="C159" s="1"/>
      <c r="D159" s="1"/>
      <c r="E159" s="1"/>
      <c r="F159" s="4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</row>
    <row r="160" spans="1:127" ht="15.75" customHeight="1">
      <c r="A160" s="46"/>
      <c r="B160" s="45"/>
      <c r="C160" s="1"/>
      <c r="D160" s="1"/>
      <c r="E160" s="1"/>
      <c r="F160" s="4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</row>
    <row r="161" spans="1:127" ht="15.75" customHeight="1">
      <c r="A161" s="46"/>
      <c r="B161" s="45"/>
      <c r="C161" s="1"/>
      <c r="D161" s="1"/>
      <c r="E161" s="1"/>
      <c r="F161" s="4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</row>
    <row r="162" spans="1:127" ht="15.75" customHeight="1">
      <c r="A162" s="46"/>
      <c r="B162" s="45"/>
      <c r="C162" s="1"/>
      <c r="D162" s="1"/>
      <c r="E162" s="1"/>
      <c r="F162" s="4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</row>
    <row r="163" spans="1:127" ht="15.75" customHeight="1">
      <c r="A163" s="46"/>
      <c r="B163" s="45"/>
      <c r="C163" s="1"/>
      <c r="D163" s="1"/>
      <c r="E163" s="1"/>
      <c r="F163" s="4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</row>
    <row r="164" spans="1:127" ht="15.75" customHeight="1">
      <c r="A164" s="46"/>
      <c r="B164" s="45"/>
      <c r="C164" s="1"/>
      <c r="D164" s="1"/>
      <c r="E164" s="1"/>
      <c r="F164" s="4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</row>
    <row r="165" spans="1:127" ht="15.75" customHeight="1">
      <c r="A165" s="46"/>
      <c r="B165" s="45"/>
      <c r="C165" s="1"/>
      <c r="D165" s="1"/>
      <c r="E165" s="1"/>
      <c r="F165" s="4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</row>
    <row r="166" spans="1:127" ht="15.75" customHeight="1">
      <c r="A166" s="46"/>
      <c r="B166" s="45"/>
      <c r="C166" s="1"/>
      <c r="D166" s="1"/>
      <c r="E166" s="1"/>
      <c r="F166" s="4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</row>
    <row r="167" spans="1:127" ht="15.75" customHeight="1">
      <c r="A167" s="46"/>
      <c r="B167" s="45"/>
      <c r="C167" s="1"/>
      <c r="D167" s="1"/>
      <c r="E167" s="1"/>
      <c r="F167" s="4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</row>
    <row r="168" spans="1:127" ht="15.75" customHeight="1">
      <c r="A168" s="46"/>
      <c r="B168" s="45"/>
      <c r="C168" s="1"/>
      <c r="D168" s="1"/>
      <c r="E168" s="1"/>
      <c r="F168" s="4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</row>
    <row r="169" spans="1:127" ht="15.75" customHeight="1">
      <c r="A169" s="46"/>
      <c r="B169" s="45"/>
      <c r="C169" s="1"/>
      <c r="D169" s="1"/>
      <c r="E169" s="1"/>
      <c r="F169" s="4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</row>
    <row r="170" spans="1:127" ht="15.75" customHeight="1">
      <c r="A170" s="46"/>
      <c r="B170" s="45"/>
      <c r="C170" s="1"/>
      <c r="D170" s="1"/>
      <c r="E170" s="1"/>
      <c r="F170" s="4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</row>
    <row r="171" spans="1:127" ht="15.75" customHeight="1">
      <c r="A171" s="46"/>
      <c r="B171" s="45"/>
      <c r="C171" s="1"/>
      <c r="D171" s="1"/>
      <c r="E171" s="1"/>
      <c r="F171" s="4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</row>
    <row r="172" spans="1:127" ht="15.75" customHeight="1">
      <c r="A172" s="46"/>
      <c r="B172" s="45"/>
      <c r="C172" s="1"/>
      <c r="D172" s="1"/>
      <c r="E172" s="1"/>
      <c r="F172" s="4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</row>
    <row r="173" spans="1:127" ht="15.75" customHeight="1">
      <c r="A173" s="46"/>
      <c r="B173" s="45"/>
      <c r="C173" s="1"/>
      <c r="D173" s="1"/>
      <c r="E173" s="1"/>
      <c r="F173" s="4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</row>
    <row r="174" spans="1:127" ht="15.75" customHeight="1">
      <c r="A174" s="46"/>
      <c r="B174" s="45"/>
      <c r="C174" s="1"/>
      <c r="D174" s="1"/>
      <c r="E174" s="1"/>
      <c r="F174" s="4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</row>
    <row r="175" spans="1:127" ht="15.75" customHeight="1">
      <c r="A175" s="46"/>
      <c r="B175" s="45"/>
      <c r="C175" s="1"/>
      <c r="D175" s="1"/>
      <c r="E175" s="1"/>
      <c r="F175" s="4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</row>
    <row r="176" spans="1:127" ht="15.75" customHeight="1">
      <c r="A176" s="46"/>
      <c r="B176" s="45"/>
      <c r="C176" s="1"/>
      <c r="D176" s="1"/>
      <c r="E176" s="1"/>
      <c r="F176" s="4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</row>
    <row r="177" spans="1:127" ht="15.75" customHeight="1">
      <c r="A177" s="46"/>
      <c r="B177" s="45"/>
      <c r="C177" s="1"/>
      <c r="D177" s="1"/>
      <c r="E177" s="1"/>
      <c r="F177" s="4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</row>
    <row r="178" spans="1:127" ht="15.75" customHeight="1">
      <c r="A178" s="46"/>
      <c r="B178" s="45"/>
      <c r="C178" s="1"/>
      <c r="D178" s="1"/>
      <c r="E178" s="1"/>
      <c r="F178" s="4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</row>
    <row r="179" spans="1:127" ht="15.75" customHeight="1">
      <c r="A179" s="46"/>
      <c r="B179" s="45"/>
      <c r="C179" s="1"/>
      <c r="D179" s="1"/>
      <c r="E179" s="1"/>
      <c r="F179" s="4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</row>
    <row r="180" spans="1:127" ht="15.75" customHeight="1">
      <c r="A180" s="46"/>
      <c r="B180" s="45"/>
      <c r="C180" s="1"/>
      <c r="D180" s="1"/>
      <c r="E180" s="1"/>
      <c r="F180" s="4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</row>
    <row r="181" spans="1:127" ht="15.75" customHeight="1">
      <c r="A181" s="46"/>
      <c r="B181" s="45"/>
      <c r="C181" s="1"/>
      <c r="D181" s="1"/>
      <c r="E181" s="1"/>
      <c r="F181" s="4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</row>
    <row r="182" spans="1:127" ht="15.75" customHeight="1">
      <c r="A182" s="46"/>
      <c r="B182" s="45"/>
      <c r="C182" s="1"/>
      <c r="D182" s="1"/>
      <c r="E182" s="1"/>
      <c r="F182" s="4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</row>
    <row r="183" spans="1:127" ht="15.75" customHeight="1">
      <c r="A183" s="46"/>
      <c r="B183" s="45"/>
      <c r="C183" s="1"/>
      <c r="D183" s="1"/>
      <c r="E183" s="1"/>
      <c r="F183" s="4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</row>
    <row r="184" spans="1:127" ht="15.75" customHeight="1">
      <c r="A184" s="46"/>
      <c r="B184" s="45"/>
      <c r="C184" s="1"/>
      <c r="D184" s="1"/>
      <c r="E184" s="1"/>
      <c r="F184" s="4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</row>
    <row r="185" spans="1:127" ht="15.75" customHeight="1">
      <c r="A185" s="46"/>
      <c r="B185" s="45"/>
      <c r="C185" s="1"/>
      <c r="D185" s="1"/>
      <c r="E185" s="1"/>
      <c r="F185" s="4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</row>
    <row r="186" spans="1:127" ht="15.75" customHeight="1">
      <c r="A186" s="46"/>
      <c r="B186" s="45"/>
      <c r="C186" s="1"/>
      <c r="D186" s="1"/>
      <c r="E186" s="1"/>
      <c r="F186" s="4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</row>
    <row r="187" spans="1:127" ht="15.75" customHeight="1">
      <c r="A187" s="46"/>
      <c r="B187" s="45"/>
      <c r="C187" s="1"/>
      <c r="D187" s="1"/>
      <c r="E187" s="1"/>
      <c r="F187" s="4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</row>
    <row r="188" spans="1:127" ht="15.75" customHeight="1">
      <c r="A188" s="46"/>
      <c r="B188" s="45"/>
      <c r="C188" s="1"/>
      <c r="D188" s="1"/>
      <c r="E188" s="1"/>
      <c r="F188" s="4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</row>
    <row r="189" spans="1:127" ht="15.75" customHeight="1">
      <c r="A189" s="46"/>
      <c r="B189" s="45"/>
      <c r="C189" s="1"/>
      <c r="D189" s="1"/>
      <c r="E189" s="1"/>
      <c r="F189" s="4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</row>
    <row r="190" spans="1:127" ht="15.75" customHeight="1">
      <c r="A190" s="46"/>
      <c r="B190" s="45"/>
      <c r="C190" s="1"/>
      <c r="D190" s="1"/>
      <c r="E190" s="1"/>
      <c r="F190" s="4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</row>
    <row r="191" spans="1:127" ht="15.75" customHeight="1">
      <c r="A191" s="46"/>
      <c r="B191" s="45"/>
      <c r="C191" s="1"/>
      <c r="D191" s="1"/>
      <c r="E191" s="1"/>
      <c r="F191" s="4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</row>
    <row r="192" spans="1:127" ht="15.75" customHeight="1">
      <c r="A192" s="46"/>
      <c r="B192" s="45"/>
      <c r="C192" s="1"/>
      <c r="D192" s="1"/>
      <c r="E192" s="1"/>
      <c r="F192" s="4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</row>
    <row r="193" spans="1:127" ht="15.75" customHeight="1">
      <c r="A193" s="46"/>
      <c r="B193" s="45"/>
      <c r="C193" s="1"/>
      <c r="D193" s="1"/>
      <c r="E193" s="1"/>
      <c r="F193" s="4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</row>
    <row r="194" spans="1:127" ht="15.75" customHeight="1">
      <c r="A194" s="46"/>
      <c r="B194" s="45"/>
      <c r="C194" s="1"/>
      <c r="D194" s="1"/>
      <c r="E194" s="1"/>
      <c r="F194" s="4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</row>
    <row r="195" spans="1:127" ht="15.75" customHeight="1">
      <c r="A195" s="46"/>
      <c r="B195" s="45"/>
      <c r="C195" s="1"/>
      <c r="D195" s="1"/>
      <c r="E195" s="1"/>
      <c r="F195" s="4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</row>
    <row r="196" spans="1:127" ht="15.75" customHeight="1">
      <c r="A196" s="46"/>
      <c r="B196" s="45"/>
      <c r="C196" s="1"/>
      <c r="D196" s="1"/>
      <c r="E196" s="1"/>
      <c r="F196" s="4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</row>
    <row r="197" spans="1:127" ht="15.75" customHeight="1">
      <c r="A197" s="46"/>
      <c r="B197" s="45"/>
      <c r="C197" s="1"/>
      <c r="D197" s="1"/>
      <c r="E197" s="1"/>
      <c r="F197" s="4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</row>
    <row r="198" spans="1:127" ht="15.75" customHeight="1">
      <c r="A198" s="46"/>
      <c r="B198" s="45"/>
      <c r="C198" s="1"/>
      <c r="D198" s="1"/>
      <c r="E198" s="1"/>
      <c r="F198" s="4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</row>
    <row r="199" spans="1:127" ht="15.75" customHeight="1">
      <c r="A199" s="46"/>
      <c r="B199" s="45"/>
      <c r="C199" s="1"/>
      <c r="D199" s="1"/>
      <c r="E199" s="1"/>
      <c r="F199" s="4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</row>
    <row r="200" spans="1:127" ht="15.75" customHeight="1">
      <c r="A200" s="46"/>
      <c r="B200" s="45"/>
      <c r="C200" s="1"/>
      <c r="D200" s="1"/>
      <c r="E200" s="1"/>
      <c r="F200" s="4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</row>
    <row r="201" spans="1:127" ht="15.75" customHeight="1">
      <c r="A201" s="46"/>
      <c r="B201" s="45"/>
      <c r="C201" s="1"/>
      <c r="D201" s="1"/>
      <c r="E201" s="1"/>
      <c r="F201" s="4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</row>
    <row r="202" spans="1:127" ht="15.75" customHeight="1">
      <c r="A202" s="46"/>
      <c r="B202" s="45"/>
      <c r="C202" s="1"/>
      <c r="D202" s="1"/>
      <c r="E202" s="1"/>
      <c r="F202" s="4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</row>
    <row r="203" spans="1:127" ht="15.75" customHeight="1">
      <c r="A203" s="46"/>
      <c r="B203" s="45"/>
      <c r="C203" s="1"/>
      <c r="D203" s="1"/>
      <c r="E203" s="1"/>
      <c r="F203" s="4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</row>
    <row r="204" spans="1:127" ht="15.75" customHeight="1">
      <c r="A204" s="46"/>
      <c r="B204" s="45"/>
      <c r="C204" s="1"/>
      <c r="D204" s="1"/>
      <c r="E204" s="1"/>
      <c r="F204" s="4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</row>
    <row r="205" spans="1:127" ht="15.75" customHeight="1">
      <c r="A205" s="46"/>
      <c r="B205" s="45"/>
      <c r="C205" s="1"/>
      <c r="D205" s="1"/>
      <c r="E205" s="1"/>
      <c r="F205" s="4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</row>
    <row r="206" spans="1:127" ht="15.75" customHeight="1">
      <c r="A206" s="46"/>
      <c r="B206" s="45"/>
      <c r="C206" s="1"/>
      <c r="D206" s="1"/>
      <c r="E206" s="1"/>
      <c r="F206" s="4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</row>
    <row r="207" spans="1:127" ht="15.75" customHeight="1">
      <c r="A207" s="46"/>
      <c r="B207" s="45"/>
      <c r="C207" s="1"/>
      <c r="D207" s="1"/>
      <c r="E207" s="1"/>
      <c r="F207" s="4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</row>
    <row r="208" spans="1:127" ht="15.75" customHeight="1">
      <c r="A208" s="46"/>
      <c r="B208" s="45"/>
      <c r="C208" s="1"/>
      <c r="D208" s="1"/>
      <c r="E208" s="1"/>
      <c r="F208" s="4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</row>
    <row r="209" spans="1:127" ht="15.75" customHeight="1">
      <c r="A209" s="46"/>
      <c r="B209" s="45"/>
      <c r="C209" s="1"/>
      <c r="D209" s="1"/>
      <c r="E209" s="1"/>
      <c r="F209" s="4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</row>
    <row r="210" spans="1:127" ht="15.75" customHeight="1">
      <c r="A210" s="46"/>
      <c r="B210" s="45"/>
      <c r="C210" s="1"/>
      <c r="D210" s="1"/>
      <c r="E210" s="1"/>
      <c r="F210" s="4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</row>
    <row r="211" spans="1:127" ht="15.75" customHeight="1">
      <c r="A211" s="46"/>
      <c r="B211" s="45"/>
      <c r="C211" s="1"/>
      <c r="D211" s="1"/>
      <c r="E211" s="1"/>
      <c r="F211" s="4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</row>
    <row r="212" spans="1:127" ht="15.75" customHeight="1">
      <c r="A212" s="46"/>
      <c r="B212" s="45"/>
      <c r="C212" s="1"/>
      <c r="D212" s="1"/>
      <c r="E212" s="1"/>
      <c r="F212" s="4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</row>
    <row r="213" spans="1:127" ht="15.75" customHeight="1">
      <c r="A213" s="46"/>
      <c r="B213" s="45"/>
      <c r="C213" s="1"/>
      <c r="D213" s="1"/>
      <c r="E213" s="1"/>
      <c r="F213" s="4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</row>
    <row r="214" spans="1:127" ht="15.75" customHeight="1">
      <c r="A214" s="46"/>
      <c r="B214" s="45"/>
      <c r="C214" s="1"/>
      <c r="D214" s="1"/>
      <c r="E214" s="1"/>
      <c r="F214" s="4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</row>
    <row r="215" spans="1:127" ht="15.75" customHeight="1">
      <c r="A215" s="46"/>
      <c r="B215" s="45"/>
      <c r="C215" s="1"/>
      <c r="D215" s="1"/>
      <c r="E215" s="1"/>
      <c r="F215" s="4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</row>
    <row r="216" spans="1:127" ht="15.75" customHeight="1">
      <c r="A216" s="46"/>
      <c r="B216" s="45"/>
      <c r="C216" s="1"/>
      <c r="D216" s="1"/>
      <c r="E216" s="1"/>
      <c r="F216" s="4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</row>
    <row r="217" spans="1:127" ht="15.75" customHeight="1">
      <c r="A217" s="46"/>
      <c r="B217" s="45"/>
      <c r="C217" s="1"/>
      <c r="D217" s="1"/>
      <c r="E217" s="1"/>
      <c r="F217" s="4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</row>
    <row r="218" spans="1:127" ht="15.75" customHeight="1">
      <c r="A218" s="46"/>
      <c r="B218" s="45"/>
      <c r="C218" s="1"/>
      <c r="D218" s="1"/>
      <c r="E218" s="1"/>
      <c r="F218" s="4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</row>
    <row r="219" spans="1:127" ht="15.75" customHeight="1">
      <c r="A219" s="46"/>
      <c r="B219" s="45"/>
      <c r="C219" s="1"/>
      <c r="D219" s="1"/>
      <c r="E219" s="1"/>
      <c r="F219" s="4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</row>
    <row r="220" spans="1:127" ht="15.75" customHeight="1">
      <c r="A220" s="46"/>
      <c r="B220" s="45"/>
      <c r="C220" s="1"/>
      <c r="D220" s="1"/>
      <c r="E220" s="1"/>
      <c r="F220" s="4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</row>
    <row r="221" spans="1:127" ht="15.75" customHeight="1">
      <c r="A221" s="46"/>
      <c r="B221" s="45"/>
      <c r="C221" s="1"/>
      <c r="D221" s="1"/>
      <c r="E221" s="1"/>
      <c r="F221" s="4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</row>
    <row r="222" spans="1:127" ht="15.75" customHeight="1">
      <c r="A222" s="46"/>
      <c r="B222" s="45"/>
      <c r="C222" s="1"/>
      <c r="D222" s="1"/>
      <c r="E222" s="1"/>
      <c r="F222" s="4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</row>
    <row r="223" spans="1:127" ht="15.75" customHeight="1">
      <c r="A223" s="46"/>
      <c r="B223" s="45"/>
      <c r="C223" s="1"/>
      <c r="D223" s="1"/>
      <c r="E223" s="1"/>
      <c r="F223" s="4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</row>
    <row r="224" spans="1:127" ht="15.75" customHeight="1">
      <c r="A224" s="46"/>
      <c r="B224" s="45"/>
      <c r="C224" s="1"/>
      <c r="D224" s="1"/>
      <c r="E224" s="1"/>
      <c r="F224" s="4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</row>
    <row r="225" spans="1:127" ht="15.75" customHeight="1">
      <c r="A225" s="46"/>
      <c r="B225" s="45"/>
      <c r="C225" s="1"/>
      <c r="D225" s="1"/>
      <c r="E225" s="1"/>
      <c r="F225" s="4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</row>
    <row r="226" spans="1:127" ht="15.75" customHeight="1">
      <c r="A226" s="46"/>
      <c r="B226" s="45"/>
      <c r="C226" s="1"/>
      <c r="D226" s="1"/>
      <c r="E226" s="1"/>
      <c r="F226" s="4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</row>
    <row r="227" spans="1:127" ht="15.75" customHeight="1">
      <c r="A227" s="46"/>
      <c r="B227" s="45"/>
      <c r="C227" s="1"/>
      <c r="D227" s="1"/>
      <c r="E227" s="1"/>
      <c r="F227" s="4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</row>
    <row r="228" spans="1:127" ht="15.75" customHeight="1">
      <c r="A228" s="46"/>
      <c r="B228" s="45"/>
      <c r="C228" s="1"/>
      <c r="D228" s="1"/>
      <c r="E228" s="1"/>
      <c r="F228" s="4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</row>
    <row r="229" spans="1:127" ht="15.75" customHeight="1">
      <c r="A229" s="46"/>
      <c r="B229" s="45"/>
      <c r="C229" s="1"/>
      <c r="D229" s="1"/>
      <c r="E229" s="1"/>
      <c r="F229" s="4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</row>
    <row r="230" spans="1:127" ht="15.75" customHeight="1">
      <c r="A230" s="46"/>
      <c r="B230" s="45"/>
      <c r="C230" s="1"/>
      <c r="D230" s="1"/>
      <c r="E230" s="1"/>
      <c r="F230" s="4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</row>
    <row r="231" spans="1:127" ht="15.75" customHeight="1">
      <c r="A231" s="46"/>
      <c r="B231" s="45"/>
      <c r="C231" s="1"/>
      <c r="D231" s="1"/>
      <c r="E231" s="1"/>
      <c r="F231" s="4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</row>
    <row r="232" spans="1:127" ht="15.75" customHeight="1">
      <c r="A232" s="46"/>
      <c r="B232" s="45"/>
      <c r="C232" s="1"/>
      <c r="D232" s="1"/>
      <c r="E232" s="1"/>
      <c r="F232" s="4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</row>
    <row r="233" spans="1:127" ht="15.75" customHeight="1">
      <c r="A233" s="46"/>
      <c r="B233" s="45"/>
      <c r="C233" s="1"/>
      <c r="D233" s="1"/>
      <c r="E233" s="1"/>
      <c r="F233" s="4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</row>
    <row r="234" spans="1:127" ht="15.75" customHeight="1">
      <c r="A234" s="46"/>
      <c r="B234" s="45"/>
      <c r="C234" s="1"/>
      <c r="D234" s="1"/>
      <c r="E234" s="1"/>
      <c r="F234" s="4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</row>
    <row r="235" spans="1:127" ht="15.75" customHeight="1">
      <c r="A235" s="46"/>
      <c r="B235" s="45"/>
      <c r="C235" s="1"/>
      <c r="D235" s="1"/>
      <c r="E235" s="1"/>
      <c r="F235" s="4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</row>
    <row r="236" spans="1:127" ht="15.75" customHeight="1">
      <c r="A236" s="46"/>
      <c r="B236" s="45"/>
      <c r="C236" s="1"/>
      <c r="D236" s="1"/>
      <c r="E236" s="1"/>
      <c r="F236" s="4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</row>
    <row r="237" spans="1:127" ht="15.75" customHeight="1">
      <c r="A237" s="46"/>
      <c r="B237" s="45"/>
      <c r="C237" s="1"/>
      <c r="D237" s="1"/>
      <c r="E237" s="1"/>
      <c r="F237" s="4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</row>
    <row r="238" spans="1:127" ht="15.75" customHeight="1">
      <c r="A238" s="46"/>
      <c r="B238" s="45"/>
      <c r="C238" s="1"/>
      <c r="D238" s="1"/>
      <c r="E238" s="1"/>
      <c r="F238" s="4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</row>
    <row r="239" spans="1:127" ht="15.75" customHeight="1">
      <c r="A239" s="46"/>
      <c r="B239" s="45"/>
      <c r="C239" s="1"/>
      <c r="D239" s="1"/>
      <c r="E239" s="1"/>
      <c r="F239" s="4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</row>
    <row r="240" spans="1:127" ht="15.75" customHeight="1">
      <c r="A240" s="46"/>
      <c r="B240" s="45"/>
      <c r="C240" s="1"/>
      <c r="D240" s="1"/>
      <c r="E240" s="1"/>
      <c r="F240" s="4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</row>
    <row r="241" spans="1:127" ht="15.75" customHeight="1">
      <c r="A241" s="46"/>
      <c r="B241" s="45"/>
      <c r="C241" s="1"/>
      <c r="D241" s="1"/>
      <c r="E241" s="1"/>
      <c r="F241" s="4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</row>
    <row r="242" spans="1:127" ht="15.75" customHeight="1">
      <c r="A242" s="46"/>
      <c r="B242" s="45"/>
      <c r="C242" s="1"/>
      <c r="D242" s="1"/>
      <c r="E242" s="1"/>
      <c r="F242" s="4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</row>
    <row r="243" spans="1:127" ht="15.75" customHeight="1">
      <c r="A243" s="46"/>
      <c r="B243" s="45"/>
      <c r="C243" s="1"/>
      <c r="D243" s="1"/>
      <c r="E243" s="1"/>
      <c r="F243" s="4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</row>
    <row r="244" spans="1:127" ht="15.75" customHeight="1">
      <c r="A244" s="46"/>
      <c r="B244" s="45"/>
      <c r="C244" s="1"/>
      <c r="D244" s="1"/>
      <c r="E244" s="1"/>
      <c r="F244" s="4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</row>
    <row r="245" spans="1:127" ht="15.75" customHeight="1">
      <c r="A245" s="46"/>
      <c r="B245" s="45"/>
      <c r="C245" s="1"/>
      <c r="D245" s="1"/>
      <c r="E245" s="1"/>
      <c r="F245" s="4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</row>
    <row r="246" spans="1:127" ht="15.75" customHeight="1">
      <c r="A246" s="46"/>
      <c r="B246" s="45"/>
      <c r="C246" s="1"/>
      <c r="D246" s="1"/>
      <c r="E246" s="1"/>
      <c r="F246" s="4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</row>
    <row r="247" spans="1:127" ht="15.75" customHeight="1">
      <c r="A247" s="46"/>
      <c r="B247" s="45"/>
      <c r="C247" s="1"/>
      <c r="D247" s="1"/>
      <c r="E247" s="1"/>
      <c r="F247" s="4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</row>
    <row r="248" spans="1:127" ht="15.75" customHeight="1">
      <c r="A248" s="46"/>
      <c r="B248" s="45"/>
      <c r="C248" s="1"/>
      <c r="D248" s="1"/>
      <c r="E248" s="1"/>
      <c r="F248" s="4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</row>
    <row r="249" spans="1:127" ht="15.75" customHeight="1">
      <c r="A249" s="46"/>
      <c r="B249" s="45"/>
      <c r="C249" s="1"/>
      <c r="D249" s="1"/>
      <c r="E249" s="1"/>
      <c r="F249" s="4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</row>
    <row r="250" spans="1:127" ht="15.75" customHeight="1">
      <c r="A250" s="46"/>
      <c r="B250" s="45"/>
      <c r="C250" s="1"/>
      <c r="D250" s="1"/>
      <c r="E250" s="1"/>
      <c r="F250" s="4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</row>
    <row r="251" spans="1:127" ht="15.75" customHeight="1">
      <c r="A251" s="47"/>
      <c r="B251" s="48"/>
      <c r="F251" s="48"/>
      <c r="CT251" s="49"/>
      <c r="CU251" s="49"/>
      <c r="CV251" s="49"/>
      <c r="CW251" s="49"/>
    </row>
    <row r="252" spans="1:127" ht="15.75" customHeight="1">
      <c r="A252" s="47"/>
      <c r="B252" s="48"/>
      <c r="F252" s="48"/>
      <c r="CT252" s="49"/>
      <c r="CU252" s="49"/>
      <c r="CV252" s="49"/>
      <c r="CW252" s="49"/>
    </row>
    <row r="253" spans="1:127" ht="15.75" customHeight="1">
      <c r="A253" s="47"/>
      <c r="B253" s="48"/>
      <c r="F253" s="48"/>
      <c r="CT253" s="49"/>
      <c r="CU253" s="49"/>
      <c r="CV253" s="49"/>
      <c r="CW253" s="49"/>
    </row>
    <row r="254" spans="1:127" ht="15.75" customHeight="1">
      <c r="A254" s="47"/>
      <c r="B254" s="48"/>
      <c r="F254" s="48"/>
      <c r="CT254" s="49"/>
      <c r="CU254" s="49"/>
      <c r="CV254" s="49"/>
      <c r="CW254" s="49"/>
    </row>
    <row r="255" spans="1:127" ht="15.75" customHeight="1">
      <c r="A255" s="47"/>
      <c r="B255" s="48"/>
      <c r="F255" s="48"/>
      <c r="CT255" s="49"/>
      <c r="CU255" s="49"/>
      <c r="CV255" s="49"/>
      <c r="CW255" s="49"/>
    </row>
    <row r="256" spans="1:127" ht="15.75" customHeight="1">
      <c r="A256" s="47"/>
      <c r="B256" s="48"/>
      <c r="F256" s="48"/>
      <c r="CT256" s="49"/>
      <c r="CU256" s="49"/>
      <c r="CV256" s="49"/>
      <c r="CW256" s="49"/>
    </row>
    <row r="257" spans="1:101" ht="15.75" customHeight="1">
      <c r="A257" s="47"/>
      <c r="B257" s="48"/>
      <c r="F257" s="48"/>
      <c r="CT257" s="49"/>
      <c r="CU257" s="49"/>
      <c r="CV257" s="49"/>
      <c r="CW257" s="49"/>
    </row>
  </sheetData>
  <autoFilter ref="A8:DW57" xr:uid="{00000000-0009-0000-0000-000000000000}"/>
  <mergeCells count="80">
    <mergeCell ref="AL1:AT1"/>
    <mergeCell ref="AU1:BU1"/>
    <mergeCell ref="BV1:CR1"/>
    <mergeCell ref="AL3:AT3"/>
    <mergeCell ref="CS1:CW5"/>
    <mergeCell ref="AU2:BU2"/>
    <mergeCell ref="BV2:CR2"/>
    <mergeCell ref="BV3:CR3"/>
    <mergeCell ref="AL2:AT2"/>
    <mergeCell ref="AL4:AT5"/>
    <mergeCell ref="CY1:DG1"/>
    <mergeCell ref="CY2:DG2"/>
    <mergeCell ref="CY4:CZ4"/>
    <mergeCell ref="DA4:DG4"/>
    <mergeCell ref="AU3:BU3"/>
    <mergeCell ref="AU4:BU5"/>
    <mergeCell ref="BV4:CR5"/>
    <mergeCell ref="DJ4:DK4"/>
    <mergeCell ref="DL4:DR4"/>
    <mergeCell ref="CX6:DW6"/>
    <mergeCell ref="DL7:DM7"/>
    <mergeCell ref="DN7:DO7"/>
    <mergeCell ref="DP7:DQ7"/>
    <mergeCell ref="DR7:DS7"/>
    <mergeCell ref="DT7:DU7"/>
    <mergeCell ref="DV7:DW7"/>
    <mergeCell ref="CX7:CY7"/>
    <mergeCell ref="CZ7:DA7"/>
    <mergeCell ref="DB7:DC7"/>
    <mergeCell ref="DD7:DE7"/>
    <mergeCell ref="DF7:DG7"/>
    <mergeCell ref="DH7:DI7"/>
    <mergeCell ref="DJ7:DK7"/>
    <mergeCell ref="G55:M55"/>
    <mergeCell ref="N55:O55"/>
    <mergeCell ref="G56:M56"/>
    <mergeCell ref="N56:O56"/>
    <mergeCell ref="G57:M57"/>
    <mergeCell ref="N57:O57"/>
    <mergeCell ref="G54:M54"/>
    <mergeCell ref="N54:O54"/>
    <mergeCell ref="T2:W2"/>
    <mergeCell ref="X2:AA2"/>
    <mergeCell ref="T3:W3"/>
    <mergeCell ref="X3:AA3"/>
    <mergeCell ref="N51:O51"/>
    <mergeCell ref="G51:M51"/>
    <mergeCell ref="G52:M52"/>
    <mergeCell ref="N52:O52"/>
    <mergeCell ref="G53:M53"/>
    <mergeCell ref="N53:O53"/>
    <mergeCell ref="G2:O2"/>
    <mergeCell ref="P2:S2"/>
    <mergeCell ref="A3:C3"/>
    <mergeCell ref="D3:F3"/>
    <mergeCell ref="P3:S3"/>
    <mergeCell ref="P1:S1"/>
    <mergeCell ref="T1:W1"/>
    <mergeCell ref="G1:O1"/>
    <mergeCell ref="X1:AA1"/>
    <mergeCell ref="AB1:AK1"/>
    <mergeCell ref="AB2:AK2"/>
    <mergeCell ref="A4:C4"/>
    <mergeCell ref="D4:F4"/>
    <mergeCell ref="G3:O3"/>
    <mergeCell ref="G4:O5"/>
    <mergeCell ref="P4:S5"/>
    <mergeCell ref="T4:W5"/>
    <mergeCell ref="X4:AA5"/>
    <mergeCell ref="AB4:AK5"/>
    <mergeCell ref="D5:F5"/>
    <mergeCell ref="A5:C5"/>
    <mergeCell ref="AB3:AK3"/>
    <mergeCell ref="A1:B2"/>
    <mergeCell ref="C1:F2"/>
    <mergeCell ref="A6:C6"/>
    <mergeCell ref="G6:O7"/>
    <mergeCell ref="A7:C7"/>
    <mergeCell ref="G50:M50"/>
    <mergeCell ref="N50:O50"/>
  </mergeCells>
  <conditionalFormatting sqref="E9:E49">
    <cfRule type="containsText" dxfId="99" priority="1" operator="containsText" text="RETIRADO">
      <formula>NOT(ISERROR(SEARCH(("RETIRADO"),(E9))))</formula>
    </cfRule>
  </conditionalFormatting>
  <conditionalFormatting sqref="E9:E49">
    <cfRule type="containsText" dxfId="98" priority="2" operator="containsText" text="EN FORMACIÓN">
      <formula>NOT(ISERROR(SEARCH(("EN FORMACIÓN"),(E9))))</formula>
    </cfRule>
  </conditionalFormatting>
  <conditionalFormatting sqref="F9:F49">
    <cfRule type="cellIs" dxfId="97" priority="3" operator="equal">
      <formula>"REVISAR FALTAS"</formula>
    </cfRule>
  </conditionalFormatting>
  <conditionalFormatting sqref="F9:F49">
    <cfRule type="cellIs" dxfId="96" priority="4" operator="equal">
      <formula>"CON FALTAS"</formula>
    </cfRule>
  </conditionalFormatting>
  <conditionalFormatting sqref="F9:F49">
    <cfRule type="cellIs" dxfId="95" priority="5" operator="equal">
      <formula>"FALTAS INTERMITENTES"</formula>
    </cfRule>
  </conditionalFormatting>
  <conditionalFormatting sqref="G8:N8">
    <cfRule type="cellIs" dxfId="94" priority="6" operator="equal">
      <formula>"RET"</formula>
    </cfRule>
  </conditionalFormatting>
  <conditionalFormatting sqref="G8:N8">
    <cfRule type="cellIs" dxfId="93" priority="7" operator="equal">
      <formula>"SFF"</formula>
    </cfRule>
  </conditionalFormatting>
  <conditionalFormatting sqref="G8:N8">
    <cfRule type="cellIs" dxfId="92" priority="8" operator="equal">
      <formula>"CLM"</formula>
    </cfRule>
  </conditionalFormatting>
  <conditionalFormatting sqref="G8:N8">
    <cfRule type="cellIs" dxfId="91" priority="9" operator="equal">
      <formula>"LIC"</formula>
    </cfRule>
  </conditionalFormatting>
  <conditionalFormatting sqref="G8:N8">
    <cfRule type="cellIs" dxfId="90" priority="10" operator="equal">
      <formula>"INC"</formula>
    </cfRule>
  </conditionalFormatting>
  <conditionalFormatting sqref="G8:N8">
    <cfRule type="cellIs" dxfId="89" priority="11" operator="equal">
      <formula>"SE"</formula>
    </cfRule>
  </conditionalFormatting>
  <conditionalFormatting sqref="G8:N8">
    <cfRule type="cellIs" dxfId="88" priority="12" operator="equal">
      <formula>"CE"</formula>
    </cfRule>
  </conditionalFormatting>
  <conditionalFormatting sqref="G8:N8">
    <cfRule type="cellIs" dxfId="87" priority="13" operator="equal">
      <formula>"A"</formula>
    </cfRule>
  </conditionalFormatting>
  <conditionalFormatting sqref="G9:O49 P50:CW57">
    <cfRule type="cellIs" dxfId="86" priority="14" operator="equal">
      <formula>0</formula>
    </cfRule>
  </conditionalFormatting>
  <conditionalFormatting sqref="N50:O57">
    <cfRule type="cellIs" dxfId="85" priority="15" operator="equal">
      <formula>"RET"</formula>
    </cfRule>
  </conditionalFormatting>
  <conditionalFormatting sqref="N50:O57">
    <cfRule type="cellIs" dxfId="84" priority="16" operator="equal">
      <formula>"SFF"</formula>
    </cfRule>
  </conditionalFormatting>
  <conditionalFormatting sqref="N50:O57">
    <cfRule type="cellIs" dxfId="83" priority="17" operator="equal">
      <formula>"CLM"</formula>
    </cfRule>
  </conditionalFormatting>
  <conditionalFormatting sqref="N50:O57">
    <cfRule type="cellIs" dxfId="82" priority="18" operator="equal">
      <formula>"LIC"</formula>
    </cfRule>
  </conditionalFormatting>
  <conditionalFormatting sqref="N50:O57">
    <cfRule type="cellIs" dxfId="81" priority="19" operator="equal">
      <formula>"INC"</formula>
    </cfRule>
  </conditionalFormatting>
  <conditionalFormatting sqref="N50:O57">
    <cfRule type="cellIs" dxfId="80" priority="20" operator="equal">
      <formula>"SE"</formula>
    </cfRule>
  </conditionalFormatting>
  <conditionalFormatting sqref="N50:O57">
    <cfRule type="cellIs" dxfId="79" priority="21" operator="equal">
      <formula>"CE"</formula>
    </cfRule>
  </conditionalFormatting>
  <conditionalFormatting sqref="N50:O57">
    <cfRule type="cellIs" dxfId="78" priority="22" operator="equal">
      <formula>"A"</formula>
    </cfRule>
  </conditionalFormatting>
  <conditionalFormatting sqref="O9:O49">
    <cfRule type="cellIs" dxfId="77" priority="23" operator="greaterThan">
      <formula>0.4</formula>
    </cfRule>
  </conditionalFormatting>
  <conditionalFormatting sqref="O9:O49">
    <cfRule type="cellIs" dxfId="76" priority="24" operator="between">
      <formula>0.21</formula>
      <formula>0.4</formula>
    </cfRule>
  </conditionalFormatting>
  <conditionalFormatting sqref="O9:O49">
    <cfRule type="cellIs" dxfId="75" priority="25" operator="between">
      <formula>0</formula>
      <formula>0.2</formula>
    </cfRule>
  </conditionalFormatting>
  <conditionalFormatting sqref="P6:CW6">
    <cfRule type="containsText" dxfId="74" priority="26" operator="containsText" text="dic">
      <formula>NOT(ISERROR(SEARCH(("dic"),(P6))))</formula>
    </cfRule>
  </conditionalFormatting>
  <conditionalFormatting sqref="P6:CW6">
    <cfRule type="containsText" dxfId="73" priority="27" operator="containsText" text="oct">
      <formula>NOT(ISERROR(SEARCH(("oct"),(P6))))</formula>
    </cfRule>
  </conditionalFormatting>
  <conditionalFormatting sqref="P6:CW6">
    <cfRule type="containsText" dxfId="72" priority="28" operator="containsText" text="ago">
      <formula>NOT(ISERROR(SEARCH(("ago"),(P6))))</formula>
    </cfRule>
  </conditionalFormatting>
  <conditionalFormatting sqref="P6:CW6">
    <cfRule type="containsText" dxfId="71" priority="29" operator="containsText" text="jun">
      <formula>NOT(ISERROR(SEARCH(("jun"),(P6))))</formula>
    </cfRule>
  </conditionalFormatting>
  <conditionalFormatting sqref="P6:CW6">
    <cfRule type="containsText" dxfId="70" priority="30" operator="containsText" text="abr">
      <formula>NOT(ISERROR(SEARCH(("abr"),(P6))))</formula>
    </cfRule>
  </conditionalFormatting>
  <conditionalFormatting sqref="P6:CW6">
    <cfRule type="containsText" dxfId="69" priority="31" operator="containsText" text="feb">
      <formula>NOT(ISERROR(SEARCH(("feb"),(P6))))</formula>
    </cfRule>
  </conditionalFormatting>
  <conditionalFormatting sqref="P6:CW6">
    <cfRule type="containsText" dxfId="68" priority="32" operator="containsText" text="jul">
      <formula>NOT(ISERROR(SEARCH(("jul"),(P6))))</formula>
    </cfRule>
  </conditionalFormatting>
  <conditionalFormatting sqref="P6:CW6">
    <cfRule type="containsText" dxfId="67" priority="33" operator="containsText" text="nov">
      <formula>NOT(ISERROR(SEARCH(("nov"),(P6))))</formula>
    </cfRule>
  </conditionalFormatting>
  <conditionalFormatting sqref="P6:CW6">
    <cfRule type="containsText" dxfId="66" priority="34" operator="containsText" text="sep">
      <formula>NOT(ISERROR(SEARCH(("sep"),(P6))))</formula>
    </cfRule>
  </conditionalFormatting>
  <conditionalFormatting sqref="P6:CW6">
    <cfRule type="containsText" dxfId="65" priority="35" operator="containsText" text="may">
      <formula>NOT(ISERROR(SEARCH(("may"),(P6))))</formula>
    </cfRule>
  </conditionalFormatting>
  <conditionalFormatting sqref="P6:CW6">
    <cfRule type="containsText" dxfId="64" priority="36" operator="containsText" text="mar">
      <formula>NOT(ISERROR(SEARCH(("mar"),(P6))))</formula>
    </cfRule>
  </conditionalFormatting>
  <conditionalFormatting sqref="P6:CW6">
    <cfRule type="containsText" dxfId="63" priority="37" operator="containsText" text="ene">
      <formula>NOT(ISERROR(SEARCH(("ene"),(P6))))</formula>
    </cfRule>
  </conditionalFormatting>
  <conditionalFormatting sqref="P8:CW8">
    <cfRule type="cellIs" dxfId="62" priority="38" operator="equal">
      <formula>"Fest"</formula>
    </cfRule>
  </conditionalFormatting>
  <conditionalFormatting sqref="P8:CW8">
    <cfRule type="cellIs" dxfId="61" priority="39" operator="equal">
      <formula>"Rec"</formula>
    </cfRule>
  </conditionalFormatting>
  <conditionalFormatting sqref="P8:CW8">
    <cfRule type="cellIs" dxfId="60" priority="40" operator="equal">
      <formula>"S.S."</formula>
    </cfRule>
  </conditionalFormatting>
  <conditionalFormatting sqref="P9:CW49">
    <cfRule type="cellIs" dxfId="59" priority="41" operator="equal">
      <formula>"RET"</formula>
    </cfRule>
  </conditionalFormatting>
  <conditionalFormatting sqref="P9:CW49">
    <cfRule type="cellIs" dxfId="58" priority="42" operator="equal">
      <formula>"SFF"</formula>
    </cfRule>
  </conditionalFormatting>
  <conditionalFormatting sqref="P9:CW49">
    <cfRule type="cellIs" dxfId="57" priority="43" operator="equal">
      <formula>"CLM"</formula>
    </cfRule>
  </conditionalFormatting>
  <conditionalFormatting sqref="P9:CW49">
    <cfRule type="cellIs" dxfId="56" priority="44" operator="equal">
      <formula>"LIC"</formula>
    </cfRule>
  </conditionalFormatting>
  <conditionalFormatting sqref="P9:CW49">
    <cfRule type="cellIs" dxfId="55" priority="45" operator="equal">
      <formula>"INC"</formula>
    </cfRule>
  </conditionalFormatting>
  <conditionalFormatting sqref="P9:CW49">
    <cfRule type="cellIs" dxfId="54" priority="46" operator="equal">
      <formula>"CE"</formula>
    </cfRule>
  </conditionalFormatting>
  <conditionalFormatting sqref="P9:CW49">
    <cfRule type="cellIs" dxfId="53" priority="47" operator="equal">
      <formula>"SE"</formula>
    </cfRule>
  </conditionalFormatting>
  <conditionalFormatting sqref="P9:CW49">
    <cfRule type="cellIs" dxfId="52" priority="48" operator="equal">
      <formula>"A"</formula>
    </cfRule>
  </conditionalFormatting>
  <conditionalFormatting sqref="CX7 CZ7 DB7 DD7 DF7 DH7 DJ7 DL7 DN7 DP7 DR7 DT7">
    <cfRule type="containsText" dxfId="51" priority="49" operator="containsText" text="dic">
      <formula>NOT(ISERROR(SEARCH(("dic"),(CX7))))</formula>
    </cfRule>
  </conditionalFormatting>
  <conditionalFormatting sqref="CX7 CZ7 DB7 DD7 DF7 DH7 DJ7 DL7 DN7 DP7 DR7 DT7">
    <cfRule type="containsText" dxfId="50" priority="50" operator="containsText" text="oct">
      <formula>NOT(ISERROR(SEARCH(("oct"),(CX7))))</formula>
    </cfRule>
  </conditionalFormatting>
  <conditionalFormatting sqref="CX7 CZ7 DB7 DD7 DF7 DH7 DJ7 DL7 DN7 DP7 DR7 DT7">
    <cfRule type="containsText" dxfId="49" priority="51" operator="containsText" text="ago">
      <formula>NOT(ISERROR(SEARCH(("ago"),(CX7))))</formula>
    </cfRule>
  </conditionalFormatting>
  <conditionalFormatting sqref="CX7 CZ7 DB7 DD7 DF7 DH7 DJ7 DL7 DN7 DP7 DR7 DT7">
    <cfRule type="containsText" dxfId="48" priority="52" operator="containsText" text="jun">
      <formula>NOT(ISERROR(SEARCH(("jun"),(CX7))))</formula>
    </cfRule>
  </conditionalFormatting>
  <conditionalFormatting sqref="CX7 CZ7 DB7 DD7 DF7 DH7 DJ7 DL7 DN7 DP7 DR7 DT7">
    <cfRule type="containsText" dxfId="47" priority="53" operator="containsText" text="abr">
      <formula>NOT(ISERROR(SEARCH(("abr"),(CX7))))</formula>
    </cfRule>
  </conditionalFormatting>
  <conditionalFormatting sqref="CX7 CZ7 DB7 DD7 DF7 DH7 DJ7 DL7 DN7 DP7 DR7 DT7">
    <cfRule type="containsText" dxfId="46" priority="54" operator="containsText" text="feb">
      <formula>NOT(ISERROR(SEARCH(("feb"),(CX7))))</formula>
    </cfRule>
  </conditionalFormatting>
  <conditionalFormatting sqref="CX7 CZ7 DB7 DD7 DF7 DH7 DJ7 DL7 DN7 DP7 DR7 DT7">
    <cfRule type="containsText" dxfId="45" priority="55" operator="containsText" text="jul">
      <formula>NOT(ISERROR(SEARCH(("jul"),(CX7))))</formula>
    </cfRule>
  </conditionalFormatting>
  <conditionalFormatting sqref="CX7 CZ7 DB7 DD7 DF7 DH7 DJ7 DL7 DN7 DP7 DR7 DT7">
    <cfRule type="containsText" dxfId="44" priority="56" operator="containsText" text="nov">
      <formula>NOT(ISERROR(SEARCH(("nov"),(CX7))))</formula>
    </cfRule>
  </conditionalFormatting>
  <conditionalFormatting sqref="CX7 CZ7 DB7 DD7 DF7 DH7 DJ7 DL7 DN7 DP7 DR7 DT7">
    <cfRule type="containsText" dxfId="43" priority="57" operator="containsText" text="sep">
      <formula>NOT(ISERROR(SEARCH(("sep"),(CX7))))</formula>
    </cfRule>
  </conditionalFormatting>
  <conditionalFormatting sqref="CX7 CZ7 DB7 DD7 DF7 DH7 DJ7 DL7 DN7 DP7 DR7 DT7">
    <cfRule type="containsText" dxfId="42" priority="58" operator="containsText" text="may">
      <formula>NOT(ISERROR(SEARCH(("may"),(CX7))))</formula>
    </cfRule>
  </conditionalFormatting>
  <conditionalFormatting sqref="CX7 CZ7 DB7 DD7 DF7 DH7 DJ7 DL7 DN7 DP7 DR7 DT7">
    <cfRule type="containsText" dxfId="41" priority="59" operator="containsText" text="mar">
      <formula>NOT(ISERROR(SEARCH(("mar"),(CX7))))</formula>
    </cfRule>
  </conditionalFormatting>
  <conditionalFormatting sqref="CX7 CZ7 DB7 DD7 DF7 DH7 DJ7 DL7 DN7 DP7 DR7 DT7">
    <cfRule type="containsText" dxfId="40" priority="60" operator="containsText" text="ene">
      <formula>NOT(ISERROR(SEARCH(("ene"),(CX7))))</formula>
    </cfRule>
  </conditionalFormatting>
  <conditionalFormatting sqref="CX8:DU8">
    <cfRule type="cellIs" dxfId="39" priority="61" operator="equal">
      <formula>"INC"</formula>
    </cfRule>
  </conditionalFormatting>
  <conditionalFormatting sqref="CX8:DU8">
    <cfRule type="cellIs" dxfId="38" priority="62" operator="equal">
      <formula>"CNC"</formula>
    </cfRule>
  </conditionalFormatting>
  <conditionalFormatting sqref="CX8:DU8">
    <cfRule type="cellIs" dxfId="37" priority="63" operator="equal">
      <formula>"SE"</formula>
    </cfRule>
  </conditionalFormatting>
  <conditionalFormatting sqref="CX8:DU8">
    <cfRule type="cellIs" dxfId="36" priority="64" operator="equal">
      <formula>"CE"</formula>
    </cfRule>
  </conditionalFormatting>
  <conditionalFormatting sqref="CX8:DU8">
    <cfRule type="cellIs" dxfId="35" priority="65" operator="equal">
      <formula>"A"</formula>
    </cfRule>
  </conditionalFormatting>
  <conditionalFormatting sqref="CX9:DW57">
    <cfRule type="cellIs" dxfId="34" priority="66" operator="equal">
      <formula>0</formula>
    </cfRule>
  </conditionalFormatting>
  <conditionalFormatting sqref="CY4 DJ4">
    <cfRule type="cellIs" dxfId="33" priority="67" operator="equal">
      <formula>"A"</formula>
    </cfRule>
  </conditionalFormatting>
  <conditionalFormatting sqref="CY4 DJ4">
    <cfRule type="cellIs" dxfId="32" priority="68" operator="equal">
      <formula>"INC"</formula>
    </cfRule>
  </conditionalFormatting>
  <conditionalFormatting sqref="CY4 DJ4">
    <cfRule type="cellIs" dxfId="31" priority="69" operator="equal">
      <formula>"CNC"</formula>
    </cfRule>
  </conditionalFormatting>
  <conditionalFormatting sqref="CY4 DJ4">
    <cfRule type="cellIs" dxfId="30" priority="70" operator="equal">
      <formula>"SE"</formula>
    </cfRule>
  </conditionalFormatting>
  <conditionalFormatting sqref="CY4 DJ4">
    <cfRule type="cellIs" dxfId="29" priority="71" operator="equal">
      <formula>"CE"</formula>
    </cfRule>
  </conditionalFormatting>
  <conditionalFormatting sqref="DV8:DW8">
    <cfRule type="cellIs" dxfId="28" priority="72" operator="equal">
      <formula>0</formula>
    </cfRule>
  </conditionalFormatting>
  <dataValidations count="3">
    <dataValidation type="list" allowBlank="1" showErrorMessage="1" sqref="CX8:DU8 P9:CW49" xr:uid="{00000000-0002-0000-0000-000000000000}">
      <formula1>$G$8:$N$8</formula1>
    </dataValidation>
    <dataValidation type="list" allowBlank="1" showErrorMessage="1" sqref="DY23" xr:uid="{00000000-0002-0000-0000-000001000000}">
      <formula1>$DY$9:$DY$20</formula1>
    </dataValidation>
    <dataValidation type="list" allowBlank="1" showErrorMessage="1" sqref="E9:E49" xr:uid="{00000000-0002-0000-0000-000002000000}">
      <formula1>"EN FORMACIÓN,RETIRADO,NO MATRICULADO"</formula1>
    </dataValidation>
  </dataValidations>
  <pageMargins left="0.75" right="0.75" top="1" bottom="1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showGridLines="0" tabSelected="1" zoomScale="90" zoomScaleNormal="90" workbookViewId="0">
      <selection activeCell="K20" sqref="K20"/>
    </sheetView>
  </sheetViews>
  <sheetFormatPr baseColWidth="10" defaultColWidth="11.25" defaultRowHeight="15" customHeight="1"/>
  <cols>
    <col min="1" max="1" width="5" customWidth="1"/>
    <col min="2" max="2" width="38.625" customWidth="1"/>
    <col min="3" max="3" width="17.75" customWidth="1"/>
    <col min="4" max="4" width="26.25" customWidth="1"/>
    <col min="5" max="5" width="30.75" customWidth="1"/>
    <col min="6" max="6" width="43.25" customWidth="1"/>
    <col min="7" max="7" width="18.625" customWidth="1"/>
    <col min="8" max="8" width="32.5" customWidth="1"/>
    <col min="9" max="9" width="34.75" customWidth="1"/>
    <col min="10" max="10" width="19.625" customWidth="1"/>
    <col min="11" max="11" width="81.25" customWidth="1"/>
    <col min="12" max="26" width="12.625" customWidth="1"/>
  </cols>
  <sheetData>
    <row r="1" spans="1:26" ht="14.25" customHeight="1">
      <c r="A1" s="225">
        <v>0</v>
      </c>
      <c r="B1" s="164"/>
      <c r="C1" s="164"/>
      <c r="D1" s="164"/>
      <c r="E1" s="164"/>
      <c r="F1" s="164"/>
      <c r="G1" s="164"/>
      <c r="H1" s="164"/>
      <c r="I1" s="164"/>
      <c r="J1" s="21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15.75">
      <c r="A2" s="164"/>
      <c r="B2" s="164"/>
      <c r="C2" s="164"/>
      <c r="D2" s="164"/>
      <c r="E2" s="164"/>
      <c r="F2" s="164"/>
      <c r="G2" s="164"/>
      <c r="H2" s="164"/>
      <c r="I2" s="164"/>
      <c r="J2" s="21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t="15.75">
      <c r="A3" s="223" t="s">
        <v>5</v>
      </c>
      <c r="B3" s="141"/>
      <c r="C3" s="226" t="s">
        <v>58</v>
      </c>
      <c r="D3" s="140"/>
      <c r="E3" s="141"/>
      <c r="F3" s="50"/>
      <c r="G3" s="50"/>
      <c r="H3" s="51"/>
      <c r="I3" s="51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5.75">
      <c r="A4" s="223" t="s">
        <v>14</v>
      </c>
      <c r="B4" s="141"/>
      <c r="C4" s="227">
        <v>3415417</v>
      </c>
      <c r="D4" s="140"/>
      <c r="E4" s="141"/>
      <c r="F4" s="52" t="s">
        <v>65</v>
      </c>
      <c r="G4" s="53">
        <v>2</v>
      </c>
      <c r="H4" s="51" t="s">
        <v>66</v>
      </c>
      <c r="I4" s="51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5.75">
      <c r="A5" s="223" t="s">
        <v>7</v>
      </c>
      <c r="B5" s="141"/>
      <c r="C5" s="224" t="s">
        <v>127</v>
      </c>
      <c r="D5" s="140"/>
      <c r="E5" s="141"/>
      <c r="F5" s="52" t="s">
        <v>67</v>
      </c>
      <c r="G5" s="54">
        <v>46083</v>
      </c>
      <c r="H5" s="51"/>
      <c r="I5" s="51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ht="15.75">
      <c r="A6" s="223" t="s">
        <v>68</v>
      </c>
      <c r="B6" s="141"/>
      <c r="C6" s="228" t="s">
        <v>128</v>
      </c>
      <c r="D6" s="140"/>
      <c r="E6" s="141"/>
      <c r="F6" s="52" t="s">
        <v>69</v>
      </c>
      <c r="G6" s="55">
        <v>46085</v>
      </c>
      <c r="H6" s="51"/>
      <c r="I6" s="51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5.75">
      <c r="A7" s="223" t="s">
        <v>13</v>
      </c>
      <c r="B7" s="141"/>
      <c r="C7" s="229" t="s">
        <v>129</v>
      </c>
      <c r="D7" s="140"/>
      <c r="E7" s="141"/>
      <c r="F7" s="56" t="s">
        <v>70</v>
      </c>
      <c r="G7" s="57">
        <v>10</v>
      </c>
      <c r="H7" s="51"/>
      <c r="I7" s="51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5.75">
      <c r="A8" s="230" t="s">
        <v>71</v>
      </c>
      <c r="B8" s="141"/>
      <c r="C8" s="231" t="s">
        <v>130</v>
      </c>
      <c r="D8" s="140"/>
      <c r="E8" s="140"/>
      <c r="F8" s="140"/>
      <c r="G8" s="141"/>
      <c r="H8" s="51"/>
      <c r="I8" s="51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22.5" customHeight="1">
      <c r="A9" s="58" t="s">
        <v>32</v>
      </c>
      <c r="B9" s="59" t="s">
        <v>304</v>
      </c>
      <c r="C9" s="59" t="s">
        <v>307</v>
      </c>
      <c r="D9" s="59" t="s">
        <v>72</v>
      </c>
      <c r="E9" s="59" t="s">
        <v>73</v>
      </c>
      <c r="F9" s="59" t="s">
        <v>74</v>
      </c>
      <c r="G9" s="59" t="s">
        <v>75</v>
      </c>
      <c r="H9" s="59" t="s">
        <v>76</v>
      </c>
      <c r="I9" s="59" t="s">
        <v>305</v>
      </c>
      <c r="J9" s="59" t="s">
        <v>77</v>
      </c>
      <c r="K9" s="59" t="s">
        <v>306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5.75" customHeight="1">
      <c r="A10" s="74">
        <v>1</v>
      </c>
      <c r="B10" s="90" t="s">
        <v>89</v>
      </c>
      <c r="C10" s="74" t="s">
        <v>135</v>
      </c>
      <c r="D10" s="91">
        <v>1011210598</v>
      </c>
      <c r="E10" s="75"/>
      <c r="F10" s="97" t="s">
        <v>136</v>
      </c>
      <c r="G10" s="92">
        <v>3222767816</v>
      </c>
      <c r="H10" s="90" t="s">
        <v>182</v>
      </c>
      <c r="I10" s="90" t="s">
        <v>222</v>
      </c>
      <c r="J10" s="92">
        <v>3142904958</v>
      </c>
      <c r="K10" s="91" t="s">
        <v>264</v>
      </c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5.75" customHeight="1">
      <c r="A11" s="74">
        <f t="shared" ref="A11:A45" si="0">A10+1</f>
        <v>2</v>
      </c>
      <c r="B11" s="90" t="s">
        <v>90</v>
      </c>
      <c r="C11" s="74" t="s">
        <v>135</v>
      </c>
      <c r="D11" s="91">
        <v>1021683093</v>
      </c>
      <c r="E11" s="75"/>
      <c r="F11" s="97" t="s">
        <v>137</v>
      </c>
      <c r="G11" s="92" t="s">
        <v>176</v>
      </c>
      <c r="H11" s="90" t="s">
        <v>183</v>
      </c>
      <c r="I11" s="90" t="s">
        <v>223</v>
      </c>
      <c r="J11" s="92" t="s">
        <v>260</v>
      </c>
      <c r="K11" s="91" t="s">
        <v>265</v>
      </c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5.75" customHeight="1">
      <c r="A12" s="74">
        <f t="shared" si="0"/>
        <v>3</v>
      </c>
      <c r="B12" s="90" t="s">
        <v>91</v>
      </c>
      <c r="C12" s="74" t="s">
        <v>135</v>
      </c>
      <c r="D12" s="91">
        <v>1028867289</v>
      </c>
      <c r="E12" s="75"/>
      <c r="F12" s="97" t="s">
        <v>138</v>
      </c>
      <c r="G12" s="92">
        <v>3203910222</v>
      </c>
      <c r="H12" s="90" t="s">
        <v>184</v>
      </c>
      <c r="I12" s="90" t="s">
        <v>224</v>
      </c>
      <c r="J12" s="92">
        <v>3212365995</v>
      </c>
      <c r="K12" s="91" t="s">
        <v>266</v>
      </c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5.75" customHeight="1">
      <c r="A13" s="74">
        <f t="shared" si="0"/>
        <v>4</v>
      </c>
      <c r="B13" s="90" t="s">
        <v>112</v>
      </c>
      <c r="C13" s="74" t="s">
        <v>135</v>
      </c>
      <c r="D13" s="91">
        <v>1016718433</v>
      </c>
      <c r="E13" s="78"/>
      <c r="F13" s="97" t="s">
        <v>139</v>
      </c>
      <c r="G13" s="92">
        <v>3106733741</v>
      </c>
      <c r="H13" s="90" t="s">
        <v>185</v>
      </c>
      <c r="I13" s="90" t="s">
        <v>225</v>
      </c>
      <c r="J13" s="92">
        <v>3176890350</v>
      </c>
      <c r="K13" s="91" t="s">
        <v>267</v>
      </c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5.75" customHeight="1">
      <c r="A14" s="74">
        <f t="shared" si="0"/>
        <v>5</v>
      </c>
      <c r="B14" s="90" t="s">
        <v>92</v>
      </c>
      <c r="C14" s="74" t="s">
        <v>135</v>
      </c>
      <c r="D14" s="91">
        <v>1013128025</v>
      </c>
      <c r="E14" s="75"/>
      <c r="F14" s="97" t="s">
        <v>140</v>
      </c>
      <c r="G14" s="92">
        <v>3132017680</v>
      </c>
      <c r="H14" s="90" t="s">
        <v>186</v>
      </c>
      <c r="I14" s="90" t="s">
        <v>226</v>
      </c>
      <c r="J14" s="92">
        <v>3125014620</v>
      </c>
      <c r="K14" s="91" t="s">
        <v>268</v>
      </c>
      <c r="L14" s="49"/>
      <c r="M14" s="49" t="s">
        <v>309</v>
      </c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15.75" customHeight="1">
      <c r="A15" s="74">
        <f t="shared" si="0"/>
        <v>6</v>
      </c>
      <c r="B15" s="90" t="s">
        <v>113</v>
      </c>
      <c r="C15" s="74" t="s">
        <v>135</v>
      </c>
      <c r="D15" s="91">
        <v>1028800301</v>
      </c>
      <c r="E15" s="75"/>
      <c r="F15" s="97" t="s">
        <v>141</v>
      </c>
      <c r="G15" s="92">
        <v>3025240303</v>
      </c>
      <c r="H15" s="90" t="s">
        <v>187</v>
      </c>
      <c r="I15" s="90" t="s">
        <v>227</v>
      </c>
      <c r="J15" s="92">
        <v>3504932778</v>
      </c>
      <c r="K15" s="96" t="s">
        <v>269</v>
      </c>
      <c r="L15" s="49"/>
      <c r="M15" s="49" t="s">
        <v>308</v>
      </c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5.75" customHeight="1">
      <c r="A16" s="74">
        <f t="shared" si="0"/>
        <v>7</v>
      </c>
      <c r="B16" s="90" t="s">
        <v>100</v>
      </c>
      <c r="C16" s="74" t="s">
        <v>135</v>
      </c>
      <c r="D16" s="91">
        <v>1028620587</v>
      </c>
      <c r="E16" s="75"/>
      <c r="F16" s="97" t="s">
        <v>142</v>
      </c>
      <c r="G16" s="92">
        <v>3053207465</v>
      </c>
      <c r="H16" s="90" t="s">
        <v>188</v>
      </c>
      <c r="I16" s="90" t="s">
        <v>228</v>
      </c>
      <c r="J16" s="92">
        <v>3103392133</v>
      </c>
      <c r="K16" s="96" t="s">
        <v>270</v>
      </c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15.75" customHeight="1">
      <c r="A17" s="74">
        <f t="shared" si="0"/>
        <v>8</v>
      </c>
      <c r="B17" s="90" t="s">
        <v>101</v>
      </c>
      <c r="C17" s="74" t="s">
        <v>135</v>
      </c>
      <c r="D17" s="91">
        <v>1011205992</v>
      </c>
      <c r="E17" s="75"/>
      <c r="F17" s="97" t="s">
        <v>143</v>
      </c>
      <c r="G17" s="92">
        <v>3228937839</v>
      </c>
      <c r="H17" s="90" t="s">
        <v>189</v>
      </c>
      <c r="I17" s="90" t="s">
        <v>229</v>
      </c>
      <c r="J17" s="92">
        <v>3212444943</v>
      </c>
      <c r="K17" s="91" t="s">
        <v>271</v>
      </c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5.75" customHeight="1">
      <c r="A18" s="74">
        <f t="shared" si="0"/>
        <v>9</v>
      </c>
      <c r="B18" s="90" t="s">
        <v>102</v>
      </c>
      <c r="C18" s="74" t="s">
        <v>135</v>
      </c>
      <c r="D18" s="91">
        <v>1140923876</v>
      </c>
      <c r="E18" s="75"/>
      <c r="F18" s="97" t="s">
        <v>144</v>
      </c>
      <c r="G18" s="92" t="s">
        <v>177</v>
      </c>
      <c r="H18" s="90" t="s">
        <v>190</v>
      </c>
      <c r="I18" s="90" t="s">
        <v>230</v>
      </c>
      <c r="J18" s="92">
        <v>3138278299</v>
      </c>
      <c r="K18" s="91" t="s">
        <v>272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5.75" customHeight="1">
      <c r="A19" s="74">
        <f t="shared" si="0"/>
        <v>10</v>
      </c>
      <c r="B19" s="90" t="s">
        <v>114</v>
      </c>
      <c r="C19" s="74" t="s">
        <v>135</v>
      </c>
      <c r="D19" s="91">
        <v>1047345388</v>
      </c>
      <c r="E19" s="75"/>
      <c r="F19" s="97" t="s">
        <v>145</v>
      </c>
      <c r="G19" s="92" t="s">
        <v>178</v>
      </c>
      <c r="H19" s="90" t="s">
        <v>191</v>
      </c>
      <c r="I19" s="90" t="s">
        <v>231</v>
      </c>
      <c r="J19" s="92">
        <v>3236991408</v>
      </c>
      <c r="K19" s="97" t="s">
        <v>273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5.75" customHeight="1">
      <c r="A20" s="74">
        <f t="shared" si="0"/>
        <v>11</v>
      </c>
      <c r="B20" s="90" t="s">
        <v>115</v>
      </c>
      <c r="C20" s="74" t="s">
        <v>135</v>
      </c>
      <c r="D20" s="91">
        <v>1013132921</v>
      </c>
      <c r="E20" s="76"/>
      <c r="F20" s="97" t="s">
        <v>328</v>
      </c>
      <c r="G20" s="92">
        <v>3228955345</v>
      </c>
      <c r="H20" s="90" t="s">
        <v>192</v>
      </c>
      <c r="I20" s="90" t="s">
        <v>232</v>
      </c>
      <c r="J20" s="92">
        <v>3204764313</v>
      </c>
      <c r="K20" s="97" t="s">
        <v>274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5.75" customHeight="1">
      <c r="A21" s="74">
        <f t="shared" si="0"/>
        <v>12</v>
      </c>
      <c r="B21" s="90" t="s">
        <v>116</v>
      </c>
      <c r="C21" s="74" t="s">
        <v>135</v>
      </c>
      <c r="D21" s="91">
        <v>1025148041</v>
      </c>
      <c r="E21" s="76"/>
      <c r="F21" s="97" t="s">
        <v>146</v>
      </c>
      <c r="G21" s="92">
        <v>3112069421</v>
      </c>
      <c r="H21" s="90" t="s">
        <v>193</v>
      </c>
      <c r="I21" s="90" t="s">
        <v>233</v>
      </c>
      <c r="J21" s="92">
        <v>3185432699</v>
      </c>
      <c r="K21" s="91" t="s">
        <v>275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5.75" customHeight="1">
      <c r="A22" s="74">
        <f t="shared" si="0"/>
        <v>13</v>
      </c>
      <c r="B22" s="90" t="s">
        <v>93</v>
      </c>
      <c r="C22" s="74" t="s">
        <v>135</v>
      </c>
      <c r="D22" s="91">
        <v>1028869164</v>
      </c>
      <c r="E22" s="76"/>
      <c r="F22" s="97" t="s">
        <v>147</v>
      </c>
      <c r="G22" s="92">
        <v>3213262115</v>
      </c>
      <c r="H22" s="90" t="s">
        <v>194</v>
      </c>
      <c r="I22" s="90" t="s">
        <v>234</v>
      </c>
      <c r="J22" s="92">
        <v>3202000148</v>
      </c>
      <c r="K22" s="91" t="s">
        <v>276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75" customHeight="1">
      <c r="A23" s="74">
        <f t="shared" si="0"/>
        <v>14</v>
      </c>
      <c r="B23" s="90" t="s">
        <v>94</v>
      </c>
      <c r="C23" s="74" t="s">
        <v>135</v>
      </c>
      <c r="D23" s="91">
        <v>1025546752</v>
      </c>
      <c r="E23" s="75"/>
      <c r="F23" s="97" t="s">
        <v>148</v>
      </c>
      <c r="G23" s="92">
        <v>3213987383</v>
      </c>
      <c r="H23" s="90" t="s">
        <v>195</v>
      </c>
      <c r="I23" s="90" t="s">
        <v>235</v>
      </c>
      <c r="J23" s="92">
        <v>3214064142</v>
      </c>
      <c r="K23" s="91" t="s">
        <v>277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5.75" customHeight="1">
      <c r="A24" s="74">
        <f t="shared" si="0"/>
        <v>15</v>
      </c>
      <c r="B24" s="90" t="s">
        <v>103</v>
      </c>
      <c r="C24" s="74" t="s">
        <v>135</v>
      </c>
      <c r="D24" s="91">
        <v>1033748632</v>
      </c>
      <c r="E24" s="78"/>
      <c r="F24" s="97" t="s">
        <v>149</v>
      </c>
      <c r="G24" s="92">
        <v>3108834649</v>
      </c>
      <c r="H24" s="90" t="s">
        <v>196</v>
      </c>
      <c r="I24" s="90" t="s">
        <v>236</v>
      </c>
      <c r="J24" s="92">
        <v>3112673683</v>
      </c>
      <c r="K24" s="91" t="s">
        <v>278</v>
      </c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5.75" customHeight="1">
      <c r="A25" s="74">
        <f t="shared" si="0"/>
        <v>16</v>
      </c>
      <c r="B25" s="90" t="s">
        <v>104</v>
      </c>
      <c r="C25" s="74" t="s">
        <v>135</v>
      </c>
      <c r="D25" s="91">
        <v>1120738374</v>
      </c>
      <c r="E25" s="75"/>
      <c r="F25" s="97" t="s">
        <v>150</v>
      </c>
      <c r="G25" s="92">
        <v>3105331732</v>
      </c>
      <c r="H25" s="90" t="s">
        <v>197</v>
      </c>
      <c r="I25" s="90" t="s">
        <v>237</v>
      </c>
      <c r="J25" s="92">
        <v>3015851134</v>
      </c>
      <c r="K25" s="97" t="s">
        <v>387</v>
      </c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.75" customHeight="1">
      <c r="A26" s="74">
        <f t="shared" si="0"/>
        <v>17</v>
      </c>
      <c r="B26" s="90" t="s">
        <v>105</v>
      </c>
      <c r="C26" s="74" t="s">
        <v>135</v>
      </c>
      <c r="D26" s="91">
        <v>1027530989</v>
      </c>
      <c r="E26" s="75"/>
      <c r="F26" s="97" t="s">
        <v>151</v>
      </c>
      <c r="G26" s="92" t="s">
        <v>179</v>
      </c>
      <c r="H26" s="90" t="s">
        <v>198</v>
      </c>
      <c r="I26" s="90" t="s">
        <v>151</v>
      </c>
      <c r="J26" s="92">
        <v>3213079806</v>
      </c>
      <c r="K26" s="91" t="s">
        <v>279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5.75" customHeight="1">
      <c r="A27" s="74">
        <f t="shared" si="0"/>
        <v>18</v>
      </c>
      <c r="B27" s="90" t="s">
        <v>95</v>
      </c>
      <c r="C27" s="74" t="s">
        <v>135</v>
      </c>
      <c r="D27" s="91">
        <v>1027530471</v>
      </c>
      <c r="E27" s="76"/>
      <c r="F27" s="97" t="s">
        <v>152</v>
      </c>
      <c r="G27" s="92">
        <v>3114743873</v>
      </c>
      <c r="H27" s="90" t="s">
        <v>199</v>
      </c>
      <c r="I27" s="90" t="s">
        <v>238</v>
      </c>
      <c r="J27" s="92">
        <v>3208433510</v>
      </c>
      <c r="K27" s="91" t="s">
        <v>280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5.75" customHeight="1">
      <c r="A28" s="74">
        <f t="shared" si="0"/>
        <v>19</v>
      </c>
      <c r="B28" s="90" t="s">
        <v>106</v>
      </c>
      <c r="C28" s="74" t="s">
        <v>135</v>
      </c>
      <c r="D28" s="91">
        <v>1022968721</v>
      </c>
      <c r="E28" s="76"/>
      <c r="F28" s="97" t="s">
        <v>153</v>
      </c>
      <c r="G28" s="92">
        <v>3112233931</v>
      </c>
      <c r="H28" s="90" t="s">
        <v>200</v>
      </c>
      <c r="I28" s="90" t="s">
        <v>239</v>
      </c>
      <c r="J28" s="92">
        <v>3114878243</v>
      </c>
      <c r="K28" s="91" t="s">
        <v>281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5.75" customHeight="1">
      <c r="A29" s="74">
        <f t="shared" si="0"/>
        <v>20</v>
      </c>
      <c r="B29" s="90" t="s">
        <v>96</v>
      </c>
      <c r="C29" s="74" t="s">
        <v>135</v>
      </c>
      <c r="D29" s="91">
        <v>1027530856</v>
      </c>
      <c r="E29" s="75"/>
      <c r="F29" s="97" t="s">
        <v>154</v>
      </c>
      <c r="G29" s="92">
        <v>3053389920</v>
      </c>
      <c r="H29" s="90" t="s">
        <v>201</v>
      </c>
      <c r="I29" s="90" t="s">
        <v>240</v>
      </c>
      <c r="J29" s="92">
        <v>3177700430</v>
      </c>
      <c r="K29" s="97" t="s">
        <v>282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5.75" customHeight="1">
      <c r="A30" s="74">
        <f t="shared" si="0"/>
        <v>21</v>
      </c>
      <c r="B30" s="90" t="s">
        <v>107</v>
      </c>
      <c r="C30" s="74" t="s">
        <v>135</v>
      </c>
      <c r="D30" s="91">
        <v>1019766188</v>
      </c>
      <c r="E30" s="77"/>
      <c r="F30" s="97" t="s">
        <v>155</v>
      </c>
      <c r="G30" s="92">
        <v>3008784404</v>
      </c>
      <c r="H30" s="90" t="s">
        <v>202</v>
      </c>
      <c r="I30" s="90" t="s">
        <v>241</v>
      </c>
      <c r="J30" s="92">
        <v>3046381817</v>
      </c>
      <c r="K30" s="91" t="s">
        <v>283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5.75" customHeight="1">
      <c r="A31" s="74">
        <f t="shared" si="0"/>
        <v>22</v>
      </c>
      <c r="B31" s="90" t="s">
        <v>117</v>
      </c>
      <c r="C31" s="74" t="s">
        <v>135</v>
      </c>
      <c r="D31" s="91">
        <v>1013637824</v>
      </c>
      <c r="E31" s="77"/>
      <c r="F31" s="97" t="s">
        <v>156</v>
      </c>
      <c r="G31" s="92">
        <v>3132274010</v>
      </c>
      <c r="H31" s="90" t="s">
        <v>203</v>
      </c>
      <c r="I31" s="90" t="s">
        <v>242</v>
      </c>
      <c r="J31" s="92">
        <v>3006024133</v>
      </c>
      <c r="K31" s="91" t="s">
        <v>284</v>
      </c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5.75" customHeight="1">
      <c r="A32" s="74">
        <f t="shared" si="0"/>
        <v>23</v>
      </c>
      <c r="B32" s="90" t="s">
        <v>118</v>
      </c>
      <c r="C32" s="74" t="s">
        <v>135</v>
      </c>
      <c r="D32" s="91">
        <v>1018451032</v>
      </c>
      <c r="E32" s="77"/>
      <c r="F32" s="97" t="s">
        <v>157</v>
      </c>
      <c r="G32" s="92">
        <v>3125566819</v>
      </c>
      <c r="H32" s="90" t="s">
        <v>204</v>
      </c>
      <c r="I32" s="90" t="s">
        <v>243</v>
      </c>
      <c r="J32" s="92">
        <v>3135109952</v>
      </c>
      <c r="K32" s="91" t="s">
        <v>285</v>
      </c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5.75" customHeight="1">
      <c r="A33" s="74">
        <f t="shared" si="0"/>
        <v>24</v>
      </c>
      <c r="B33" s="90" t="s">
        <v>108</v>
      </c>
      <c r="C33" s="74" t="s">
        <v>135</v>
      </c>
      <c r="D33" s="91">
        <v>1140921303</v>
      </c>
      <c r="E33" s="75"/>
      <c r="F33" s="97" t="s">
        <v>158</v>
      </c>
      <c r="G33" s="92">
        <v>3157117898</v>
      </c>
      <c r="H33" s="90" t="s">
        <v>205</v>
      </c>
      <c r="I33" s="90" t="s">
        <v>244</v>
      </c>
      <c r="J33" s="92">
        <v>3106745993</v>
      </c>
      <c r="K33" s="91" t="s">
        <v>286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5.75" customHeight="1">
      <c r="A34" s="74">
        <f t="shared" si="0"/>
        <v>25</v>
      </c>
      <c r="B34" s="90" t="s">
        <v>109</v>
      </c>
      <c r="C34" s="74" t="s">
        <v>134</v>
      </c>
      <c r="D34" s="91">
        <v>1018428656</v>
      </c>
      <c r="E34" s="76"/>
      <c r="F34" s="97" t="s">
        <v>159</v>
      </c>
      <c r="G34" s="92">
        <v>3134172632</v>
      </c>
      <c r="H34" s="90" t="s">
        <v>195</v>
      </c>
      <c r="I34" s="90" t="s">
        <v>245</v>
      </c>
      <c r="J34" s="92">
        <v>3214064142</v>
      </c>
      <c r="K34" s="91" t="s">
        <v>287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5.75" customHeight="1">
      <c r="A35" s="74">
        <f t="shared" si="0"/>
        <v>26</v>
      </c>
      <c r="B35" s="90" t="s">
        <v>119</v>
      </c>
      <c r="C35" s="74" t="s">
        <v>135</v>
      </c>
      <c r="D35" s="91">
        <v>1140923149</v>
      </c>
      <c r="E35" s="76"/>
      <c r="F35" s="97" t="s">
        <v>160</v>
      </c>
      <c r="G35" s="92">
        <v>3104833651</v>
      </c>
      <c r="H35" s="90" t="s">
        <v>206</v>
      </c>
      <c r="I35" s="90" t="s">
        <v>246</v>
      </c>
      <c r="J35" s="92">
        <v>3013930753</v>
      </c>
      <c r="K35" s="91" t="s">
        <v>288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5.75" customHeight="1">
      <c r="A36" s="74">
        <f t="shared" si="0"/>
        <v>27</v>
      </c>
      <c r="B36" s="90" t="s">
        <v>120</v>
      </c>
      <c r="C36" s="74" t="s">
        <v>135</v>
      </c>
      <c r="D36" s="91">
        <v>1027532372</v>
      </c>
      <c r="E36" s="75"/>
      <c r="F36" s="97" t="s">
        <v>161</v>
      </c>
      <c r="G36" s="92">
        <v>3245284047</v>
      </c>
      <c r="H36" s="90" t="s">
        <v>207</v>
      </c>
      <c r="I36" s="90" t="s">
        <v>247</v>
      </c>
      <c r="J36" s="92">
        <v>3125311107</v>
      </c>
      <c r="K36" s="91" t="s">
        <v>289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5.75" customHeight="1">
      <c r="A37" s="74">
        <f t="shared" si="0"/>
        <v>28</v>
      </c>
      <c r="B37" s="90" t="s">
        <v>97</v>
      </c>
      <c r="C37" s="74" t="s">
        <v>135</v>
      </c>
      <c r="D37" s="91">
        <v>1056613175</v>
      </c>
      <c r="E37" s="76"/>
      <c r="F37" s="97" t="s">
        <v>162</v>
      </c>
      <c r="G37" s="92">
        <v>3177940362</v>
      </c>
      <c r="H37" s="90" t="s">
        <v>208</v>
      </c>
      <c r="I37" s="90" t="s">
        <v>248</v>
      </c>
      <c r="J37" s="92">
        <v>3132773117</v>
      </c>
      <c r="K37" s="91" t="s">
        <v>290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5.75" customHeight="1">
      <c r="A38" s="74">
        <f t="shared" si="0"/>
        <v>29</v>
      </c>
      <c r="B38" s="90" t="s">
        <v>110</v>
      </c>
      <c r="C38" s="74" t="s">
        <v>135</v>
      </c>
      <c r="D38" s="91">
        <v>1140923878</v>
      </c>
      <c r="E38" s="76"/>
      <c r="F38" s="97" t="s">
        <v>163</v>
      </c>
      <c r="G38" s="92">
        <v>3223041395</v>
      </c>
      <c r="H38" s="90" t="s">
        <v>209</v>
      </c>
      <c r="I38" s="90" t="s">
        <v>249</v>
      </c>
      <c r="J38" s="92">
        <v>3193169122</v>
      </c>
      <c r="K38" s="91" t="s">
        <v>291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5.75" customHeight="1">
      <c r="A39" s="74">
        <f t="shared" si="0"/>
        <v>30</v>
      </c>
      <c r="B39" s="90" t="s">
        <v>98</v>
      </c>
      <c r="C39" s="74" t="s">
        <v>135</v>
      </c>
      <c r="D39" s="91">
        <v>1022971433</v>
      </c>
      <c r="E39" s="76"/>
      <c r="F39" s="97" t="s">
        <v>164</v>
      </c>
      <c r="G39" s="92">
        <v>3112245080</v>
      </c>
      <c r="H39" s="90" t="s">
        <v>210</v>
      </c>
      <c r="I39" s="90" t="s">
        <v>250</v>
      </c>
      <c r="J39" s="92">
        <v>3123632278</v>
      </c>
      <c r="K39" s="91" t="s">
        <v>292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5.75" customHeight="1">
      <c r="A40" s="74">
        <f t="shared" si="0"/>
        <v>31</v>
      </c>
      <c r="B40" s="90" t="s">
        <v>99</v>
      </c>
      <c r="C40" s="74" t="s">
        <v>135</v>
      </c>
      <c r="D40" s="91">
        <v>1012921788</v>
      </c>
      <c r="E40" s="75"/>
      <c r="F40" s="91" t="s">
        <v>165</v>
      </c>
      <c r="G40" s="92">
        <v>3134844084</v>
      </c>
      <c r="H40" s="90" t="s">
        <v>211</v>
      </c>
      <c r="I40" s="90" t="s">
        <v>251</v>
      </c>
      <c r="J40" s="92">
        <v>3143239415</v>
      </c>
      <c r="K40" s="97" t="s">
        <v>293</v>
      </c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5.75" customHeight="1">
      <c r="A41" s="74">
        <f t="shared" si="0"/>
        <v>32</v>
      </c>
      <c r="B41" s="90" t="s">
        <v>121</v>
      </c>
      <c r="C41" s="74" t="s">
        <v>135</v>
      </c>
      <c r="D41" s="91">
        <v>1188215179</v>
      </c>
      <c r="E41" s="75"/>
      <c r="F41" s="97" t="s">
        <v>166</v>
      </c>
      <c r="G41" s="92" t="s">
        <v>180</v>
      </c>
      <c r="H41" s="90" t="s">
        <v>212</v>
      </c>
      <c r="I41" s="90" t="s">
        <v>252</v>
      </c>
      <c r="J41" s="92" t="s">
        <v>261</v>
      </c>
      <c r="K41" s="97" t="s">
        <v>294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5.75" customHeight="1">
      <c r="A42" s="74">
        <f t="shared" si="0"/>
        <v>33</v>
      </c>
      <c r="B42" s="90" t="s">
        <v>111</v>
      </c>
      <c r="C42" s="74" t="s">
        <v>135</v>
      </c>
      <c r="D42" s="91">
        <v>1033733815</v>
      </c>
      <c r="E42" s="75"/>
      <c r="F42" s="97" t="s">
        <v>167</v>
      </c>
      <c r="G42" s="92">
        <v>3209260931</v>
      </c>
      <c r="H42" s="90" t="s">
        <v>213</v>
      </c>
      <c r="I42" s="90" t="s">
        <v>253</v>
      </c>
      <c r="J42" s="92">
        <v>3195162596</v>
      </c>
      <c r="K42" s="91" t="s">
        <v>295</v>
      </c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5.75" customHeight="1">
      <c r="A43" s="74">
        <f t="shared" si="0"/>
        <v>34</v>
      </c>
      <c r="B43" s="90" t="s">
        <v>132</v>
      </c>
      <c r="C43" s="74" t="s">
        <v>135</v>
      </c>
      <c r="D43" s="91">
        <v>1025066944</v>
      </c>
      <c r="E43" s="75"/>
      <c r="F43" s="97" t="s">
        <v>168</v>
      </c>
      <c r="G43" s="92">
        <v>3118763312</v>
      </c>
      <c r="H43" s="90" t="s">
        <v>214</v>
      </c>
      <c r="I43" s="90" t="s">
        <v>254</v>
      </c>
      <c r="J43" s="92">
        <v>3108870470</v>
      </c>
      <c r="K43" s="91" t="s">
        <v>296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5.75" customHeight="1">
      <c r="A44" s="74">
        <f t="shared" si="0"/>
        <v>35</v>
      </c>
      <c r="B44" s="90" t="s">
        <v>122</v>
      </c>
      <c r="C44" s="74" t="s">
        <v>135</v>
      </c>
      <c r="D44" s="91">
        <v>1033749725</v>
      </c>
      <c r="E44" s="75"/>
      <c r="F44" s="97" t="s">
        <v>169</v>
      </c>
      <c r="G44" s="92">
        <v>3219727458</v>
      </c>
      <c r="H44" s="90" t="s">
        <v>215</v>
      </c>
      <c r="I44" s="90" t="s">
        <v>255</v>
      </c>
      <c r="J44" s="92" t="s">
        <v>262</v>
      </c>
      <c r="K44" s="91" t="s">
        <v>297</v>
      </c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5.75" customHeight="1">
      <c r="A45" s="74">
        <f t="shared" si="0"/>
        <v>36</v>
      </c>
      <c r="B45" s="90" t="s">
        <v>123</v>
      </c>
      <c r="C45" s="74" t="s">
        <v>135</v>
      </c>
      <c r="D45" s="91">
        <v>1018447155</v>
      </c>
      <c r="E45" s="75"/>
      <c r="F45" s="97" t="s">
        <v>170</v>
      </c>
      <c r="G45" s="92">
        <v>3163797259</v>
      </c>
      <c r="H45" s="90" t="s">
        <v>216</v>
      </c>
      <c r="I45" s="90" t="s">
        <v>256</v>
      </c>
      <c r="J45" s="92">
        <v>3163797259</v>
      </c>
      <c r="K45" s="91" t="s">
        <v>298</v>
      </c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5.75" customHeight="1">
      <c r="A46" s="79">
        <v>37</v>
      </c>
      <c r="B46" s="90" t="s">
        <v>133</v>
      </c>
      <c r="C46" s="74" t="s">
        <v>135</v>
      </c>
      <c r="D46" s="91">
        <v>1140923124</v>
      </c>
      <c r="E46" s="80"/>
      <c r="F46" s="97" t="s">
        <v>171</v>
      </c>
      <c r="G46" s="92" t="s">
        <v>181</v>
      </c>
      <c r="H46" s="90" t="s">
        <v>217</v>
      </c>
      <c r="I46" s="90" t="s">
        <v>257</v>
      </c>
      <c r="J46" s="92" t="s">
        <v>263</v>
      </c>
      <c r="K46" s="91" t="s">
        <v>299</v>
      </c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ht="15.75" customHeight="1">
      <c r="A47" s="79">
        <v>38</v>
      </c>
      <c r="B47" s="90" t="s">
        <v>124</v>
      </c>
      <c r="C47" s="74" t="s">
        <v>135</v>
      </c>
      <c r="D47" s="91">
        <v>1022980809</v>
      </c>
      <c r="E47" s="80"/>
      <c r="F47" s="97" t="s">
        <v>172</v>
      </c>
      <c r="G47" s="92">
        <v>3134318441</v>
      </c>
      <c r="H47" s="90" t="s">
        <v>218</v>
      </c>
      <c r="I47" s="90" t="s">
        <v>172</v>
      </c>
      <c r="J47" s="92">
        <v>3134318441</v>
      </c>
      <c r="K47" s="91" t="s">
        <v>300</v>
      </c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5.75" customHeight="1">
      <c r="A48" s="79">
        <v>39</v>
      </c>
      <c r="B48" s="90" t="s">
        <v>125</v>
      </c>
      <c r="C48" s="74" t="s">
        <v>135</v>
      </c>
      <c r="D48" s="91">
        <v>1016913212</v>
      </c>
      <c r="E48" s="80"/>
      <c r="F48" s="97" t="s">
        <v>173</v>
      </c>
      <c r="G48" s="92">
        <v>3135998322</v>
      </c>
      <c r="H48" s="90" t="s">
        <v>219</v>
      </c>
      <c r="I48" s="90" t="s">
        <v>258</v>
      </c>
      <c r="J48" s="92">
        <v>3147952260</v>
      </c>
      <c r="K48" s="97" t="s">
        <v>301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5.75" customHeight="1">
      <c r="A49" s="79">
        <v>40</v>
      </c>
      <c r="B49" s="90" t="s">
        <v>126</v>
      </c>
      <c r="C49" s="74" t="s">
        <v>135</v>
      </c>
      <c r="D49" s="91">
        <v>1140921453</v>
      </c>
      <c r="E49" s="80"/>
      <c r="F49" s="97" t="s">
        <v>174</v>
      </c>
      <c r="G49" s="92">
        <v>3107171532</v>
      </c>
      <c r="H49" s="90" t="s">
        <v>220</v>
      </c>
      <c r="I49" s="90" t="s">
        <v>259</v>
      </c>
      <c r="J49" s="92">
        <v>3107171532</v>
      </c>
      <c r="K49" s="91" t="s">
        <v>302</v>
      </c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5.75" customHeight="1">
      <c r="A50" s="79">
        <v>41</v>
      </c>
      <c r="B50" s="90" t="s">
        <v>372</v>
      </c>
      <c r="C50" s="74" t="s">
        <v>135</v>
      </c>
      <c r="D50" s="91">
        <v>1033749129</v>
      </c>
      <c r="E50" s="80"/>
      <c r="F50" s="97" t="s">
        <v>175</v>
      </c>
      <c r="G50" s="92">
        <v>3238465105</v>
      </c>
      <c r="H50" s="90" t="s">
        <v>221</v>
      </c>
      <c r="I50" s="90" t="s">
        <v>175</v>
      </c>
      <c r="J50" s="92">
        <v>3053938095</v>
      </c>
      <c r="K50" s="91" t="s">
        <v>303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5.75" customHeight="1">
      <c r="A51" s="61"/>
      <c r="B51" s="49"/>
      <c r="C51" s="48"/>
      <c r="D51" s="49"/>
      <c r="E51" s="49"/>
      <c r="F51" s="49" t="s">
        <v>78</v>
      </c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5.75" customHeight="1">
      <c r="A52" s="61"/>
      <c r="B52" s="49"/>
      <c r="C52" s="48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5.75" customHeight="1">
      <c r="A53" s="61"/>
      <c r="B53" s="49"/>
      <c r="C53" s="48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5.75" customHeight="1">
      <c r="A54" s="61"/>
      <c r="B54" s="49"/>
      <c r="C54" s="48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5.75" customHeight="1">
      <c r="A55" s="61"/>
      <c r="B55" s="49"/>
      <c r="C55" s="48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5.75" customHeight="1">
      <c r="A56" s="61"/>
      <c r="B56" s="49"/>
      <c r="C56" s="48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5.75" customHeight="1">
      <c r="A57" s="61"/>
      <c r="B57" s="49"/>
      <c r="C57" s="48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5.75" customHeight="1">
      <c r="A58" s="61"/>
      <c r="B58" s="49"/>
      <c r="C58" s="48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5.75" customHeight="1">
      <c r="A59" s="61"/>
      <c r="B59" s="49"/>
      <c r="C59" s="48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5.75" customHeight="1">
      <c r="A60" s="61"/>
      <c r="B60" s="49"/>
      <c r="C60" s="48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5.75" customHeight="1">
      <c r="A61" s="61"/>
      <c r="B61" s="49"/>
      <c r="C61" s="48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5.75" customHeight="1">
      <c r="A62" s="61"/>
      <c r="B62" s="49"/>
      <c r="C62" s="48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5.75" customHeight="1">
      <c r="A63" s="61"/>
      <c r="B63" s="49"/>
      <c r="C63" s="48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5.75" customHeight="1">
      <c r="A64" s="61"/>
      <c r="B64" s="49"/>
      <c r="C64" s="48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5.75" customHeight="1">
      <c r="A65" s="61"/>
      <c r="B65" s="49"/>
      <c r="C65" s="48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5.75" customHeight="1">
      <c r="A66" s="61"/>
      <c r="B66" s="49"/>
      <c r="C66" s="48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5.75" customHeight="1">
      <c r="A67" s="61"/>
      <c r="B67" s="49"/>
      <c r="C67" s="48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5.75" customHeight="1">
      <c r="A68" s="61"/>
      <c r="B68" s="49"/>
      <c r="C68" s="48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5.75" customHeight="1">
      <c r="A69" s="61"/>
      <c r="B69" s="49"/>
      <c r="C69" s="48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5.75" customHeight="1">
      <c r="A70" s="61"/>
      <c r="B70" s="49"/>
      <c r="C70" s="48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5.75" customHeight="1">
      <c r="A71" s="61"/>
      <c r="B71" s="49"/>
      <c r="C71" s="48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5.75" customHeight="1">
      <c r="A72" s="61"/>
      <c r="B72" s="49"/>
      <c r="C72" s="48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5.75" customHeight="1">
      <c r="A73" s="61"/>
      <c r="B73" s="49"/>
      <c r="C73" s="48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5.75" customHeight="1">
      <c r="A74" s="61"/>
      <c r="B74" s="49"/>
      <c r="C74" s="48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5.75" customHeight="1">
      <c r="A75" s="61"/>
      <c r="B75" s="49"/>
      <c r="C75" s="48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5.75" customHeight="1">
      <c r="A76" s="61"/>
      <c r="B76" s="49"/>
      <c r="C76" s="48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5.75" customHeight="1">
      <c r="A77" s="61"/>
      <c r="B77" s="49"/>
      <c r="C77" s="48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5.75" customHeight="1">
      <c r="A78" s="61"/>
      <c r="B78" s="49"/>
      <c r="C78" s="48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5.75" customHeight="1">
      <c r="A79" s="61"/>
      <c r="B79" s="49"/>
      <c r="C79" s="48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5.75" customHeight="1">
      <c r="A80" s="61"/>
      <c r="B80" s="49"/>
      <c r="C80" s="48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5.75" customHeight="1">
      <c r="A81" s="61"/>
      <c r="B81" s="49"/>
      <c r="C81" s="48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5.75" customHeight="1">
      <c r="A82" s="61"/>
      <c r="B82" s="49"/>
      <c r="C82" s="48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5.75" customHeight="1">
      <c r="A83" s="61"/>
      <c r="B83" s="49"/>
      <c r="C83" s="48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5.75" customHeight="1">
      <c r="A84" s="61"/>
      <c r="B84" s="49"/>
      <c r="C84" s="48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5.75" customHeight="1">
      <c r="A85" s="61"/>
      <c r="B85" s="49"/>
      <c r="C85" s="48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5.75" customHeight="1">
      <c r="A86" s="61"/>
      <c r="B86" s="49"/>
      <c r="C86" s="48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5.75" customHeight="1">
      <c r="A87" s="61"/>
      <c r="B87" s="49"/>
      <c r="C87" s="48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5.75" customHeight="1">
      <c r="A88" s="61"/>
      <c r="B88" s="49"/>
      <c r="C88" s="48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5.75" customHeight="1">
      <c r="A89" s="61"/>
      <c r="B89" s="49"/>
      <c r="C89" s="48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5.75" customHeight="1">
      <c r="A90" s="61"/>
      <c r="B90" s="49"/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5.75" customHeight="1">
      <c r="A91" s="61"/>
      <c r="B91" s="49"/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5.75" customHeight="1">
      <c r="A92" s="61"/>
      <c r="B92" s="49"/>
      <c r="C92" s="48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5.75" customHeight="1">
      <c r="A93" s="61"/>
      <c r="B93" s="49"/>
      <c r="C93" s="48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5.75" customHeight="1">
      <c r="A94" s="61"/>
      <c r="B94" s="49"/>
      <c r="C94" s="48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5.75" customHeight="1">
      <c r="A95" s="61"/>
      <c r="B95" s="49"/>
      <c r="C95" s="48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5.75" customHeight="1">
      <c r="A96" s="61"/>
      <c r="B96" s="49"/>
      <c r="C96" s="48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5.75" customHeight="1">
      <c r="A97" s="61"/>
      <c r="B97" s="49"/>
      <c r="C97" s="48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5.75" customHeight="1">
      <c r="A98" s="61"/>
      <c r="B98" s="49"/>
      <c r="C98" s="48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5.75" customHeight="1">
      <c r="A99" s="61"/>
      <c r="B99" s="49"/>
      <c r="C99" s="48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5.75" customHeight="1">
      <c r="A100" s="61"/>
      <c r="B100" s="49"/>
      <c r="C100" s="48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5.75" customHeight="1">
      <c r="A101" s="61"/>
      <c r="B101" s="49"/>
      <c r="C101" s="48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5.75" customHeight="1">
      <c r="A102" s="61"/>
      <c r="B102" s="49"/>
      <c r="C102" s="48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5.75" customHeight="1">
      <c r="A103" s="61"/>
      <c r="B103" s="49"/>
      <c r="C103" s="48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5.75" customHeight="1">
      <c r="A104" s="61"/>
      <c r="B104" s="49"/>
      <c r="C104" s="48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5.75" customHeight="1">
      <c r="A105" s="61"/>
      <c r="B105" s="49"/>
      <c r="C105" s="48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5.75" customHeight="1">
      <c r="A106" s="61"/>
      <c r="B106" s="49"/>
      <c r="C106" s="48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5.75" customHeight="1">
      <c r="A107" s="61"/>
      <c r="B107" s="49"/>
      <c r="C107" s="48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5.75" customHeight="1">
      <c r="A108" s="61"/>
      <c r="B108" s="49"/>
      <c r="C108" s="48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5.75" customHeight="1">
      <c r="A109" s="61"/>
      <c r="B109" s="49"/>
      <c r="C109" s="48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5.75" customHeight="1">
      <c r="A110" s="61"/>
      <c r="B110" s="49"/>
      <c r="C110" s="48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5.75" customHeight="1">
      <c r="A111" s="61"/>
      <c r="B111" s="49"/>
      <c r="C111" s="48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5.75" customHeight="1">
      <c r="A112" s="61"/>
      <c r="B112" s="49"/>
      <c r="C112" s="48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5.75" customHeight="1">
      <c r="A113" s="61"/>
      <c r="B113" s="49"/>
      <c r="C113" s="48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5.75" customHeight="1">
      <c r="A114" s="61"/>
      <c r="B114" s="49"/>
      <c r="C114" s="48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5.75" customHeight="1">
      <c r="A115" s="61"/>
      <c r="B115" s="49"/>
      <c r="C115" s="48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5.75" customHeight="1">
      <c r="A116" s="61"/>
      <c r="B116" s="49"/>
      <c r="C116" s="48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5.75" customHeight="1">
      <c r="A117" s="61"/>
      <c r="B117" s="49"/>
      <c r="C117" s="48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5.75" customHeight="1">
      <c r="A118" s="61"/>
      <c r="B118" s="49"/>
      <c r="C118" s="48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5.75" customHeight="1">
      <c r="A119" s="61"/>
      <c r="B119" s="49"/>
      <c r="C119" s="48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5.75" customHeight="1">
      <c r="A120" s="61"/>
      <c r="B120" s="49"/>
      <c r="C120" s="48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5.75" customHeight="1">
      <c r="A121" s="61"/>
      <c r="B121" s="49"/>
      <c r="C121" s="48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5.75" customHeight="1">
      <c r="A122" s="61"/>
      <c r="B122" s="49"/>
      <c r="C122" s="48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5.75" customHeight="1">
      <c r="A123" s="61"/>
      <c r="B123" s="49"/>
      <c r="C123" s="48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5.75" customHeight="1">
      <c r="A124" s="61"/>
      <c r="B124" s="49"/>
      <c r="C124" s="48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5.75" customHeight="1">
      <c r="A125" s="61"/>
      <c r="B125" s="49"/>
      <c r="C125" s="48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5.75" customHeight="1">
      <c r="A126" s="61"/>
      <c r="B126" s="49"/>
      <c r="C126" s="48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5.75" customHeight="1">
      <c r="A127" s="61"/>
      <c r="B127" s="49"/>
      <c r="C127" s="48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5.75" customHeight="1">
      <c r="A128" s="61"/>
      <c r="B128" s="49"/>
      <c r="C128" s="48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5.75" customHeight="1">
      <c r="A129" s="61"/>
      <c r="B129" s="49"/>
      <c r="C129" s="48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5.75" customHeight="1">
      <c r="A130" s="61"/>
      <c r="B130" s="49"/>
      <c r="C130" s="48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5.75" customHeight="1">
      <c r="A131" s="61"/>
      <c r="B131" s="49"/>
      <c r="C131" s="48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5.75" customHeight="1">
      <c r="A132" s="61"/>
      <c r="B132" s="49"/>
      <c r="C132" s="48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5.75" customHeight="1">
      <c r="A133" s="61"/>
      <c r="B133" s="49"/>
      <c r="C133" s="48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5.75" customHeight="1">
      <c r="A134" s="61"/>
      <c r="B134" s="49"/>
      <c r="C134" s="48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5.75" customHeight="1">
      <c r="A135" s="61"/>
      <c r="B135" s="49"/>
      <c r="C135" s="48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5.75" customHeight="1">
      <c r="A136" s="61"/>
      <c r="B136" s="49"/>
      <c r="C136" s="48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5.75" customHeight="1">
      <c r="A137" s="61"/>
      <c r="B137" s="49"/>
      <c r="C137" s="48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5.75" customHeight="1">
      <c r="A138" s="61"/>
      <c r="B138" s="49"/>
      <c r="C138" s="48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5.75" customHeight="1">
      <c r="A139" s="61"/>
      <c r="B139" s="49"/>
      <c r="C139" s="48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5.75" customHeight="1">
      <c r="A140" s="61"/>
      <c r="B140" s="49"/>
      <c r="C140" s="48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5.75" customHeight="1">
      <c r="A141" s="61"/>
      <c r="B141" s="49"/>
      <c r="C141" s="48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5.75" customHeight="1">
      <c r="A142" s="61"/>
      <c r="B142" s="49"/>
      <c r="C142" s="48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5.75" customHeight="1">
      <c r="A143" s="61"/>
      <c r="B143" s="49"/>
      <c r="C143" s="48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5.75" customHeight="1">
      <c r="A144" s="61"/>
      <c r="B144" s="49"/>
      <c r="C144" s="48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5.75" customHeight="1">
      <c r="A145" s="61"/>
      <c r="B145" s="49"/>
      <c r="C145" s="48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5.75" customHeight="1">
      <c r="A146" s="61"/>
      <c r="B146" s="49"/>
      <c r="C146" s="48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5.75" customHeight="1">
      <c r="A147" s="61"/>
      <c r="B147" s="49"/>
      <c r="C147" s="48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5.75" customHeight="1">
      <c r="A148" s="61"/>
      <c r="B148" s="49"/>
      <c r="C148" s="48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5.75" customHeight="1">
      <c r="A149" s="61"/>
      <c r="B149" s="49"/>
      <c r="C149" s="48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5.75" customHeight="1">
      <c r="A150" s="61"/>
      <c r="B150" s="49"/>
      <c r="C150" s="48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5.75" customHeight="1">
      <c r="A151" s="61"/>
      <c r="B151" s="49"/>
      <c r="C151" s="48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5.75" customHeight="1">
      <c r="A152" s="61"/>
      <c r="B152" s="49"/>
      <c r="C152" s="48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5.75" customHeight="1">
      <c r="A153" s="61"/>
      <c r="B153" s="49"/>
      <c r="C153" s="48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5.75" customHeight="1">
      <c r="A154" s="61"/>
      <c r="B154" s="49"/>
      <c r="C154" s="48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5.75" customHeight="1">
      <c r="A155" s="61"/>
      <c r="B155" s="49"/>
      <c r="C155" s="48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5.75" customHeight="1">
      <c r="A156" s="61"/>
      <c r="B156" s="49"/>
      <c r="C156" s="48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5.75" customHeight="1">
      <c r="A157" s="61"/>
      <c r="B157" s="49"/>
      <c r="C157" s="48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5.75" customHeight="1">
      <c r="A158" s="61"/>
      <c r="B158" s="49"/>
      <c r="C158" s="48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5.75" customHeight="1">
      <c r="A159" s="61"/>
      <c r="B159" s="49"/>
      <c r="C159" s="48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5.75" customHeight="1">
      <c r="A160" s="61"/>
      <c r="B160" s="49"/>
      <c r="C160" s="48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5.75" customHeight="1">
      <c r="A161" s="61"/>
      <c r="B161" s="49"/>
      <c r="C161" s="48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5.75" customHeight="1">
      <c r="A162" s="61"/>
      <c r="B162" s="49"/>
      <c r="C162" s="48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5.75" customHeight="1">
      <c r="A163" s="61"/>
      <c r="B163" s="49"/>
      <c r="C163" s="48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5.75" customHeight="1">
      <c r="A164" s="61"/>
      <c r="B164" s="49"/>
      <c r="C164" s="48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5.75" customHeight="1">
      <c r="A165" s="61"/>
      <c r="B165" s="49"/>
      <c r="C165" s="48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5.75" customHeight="1">
      <c r="A166" s="61"/>
      <c r="B166" s="49"/>
      <c r="C166" s="48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5.75" customHeight="1">
      <c r="A167" s="61"/>
      <c r="B167" s="49"/>
      <c r="C167" s="48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5.75" customHeight="1">
      <c r="A168" s="61"/>
      <c r="B168" s="49"/>
      <c r="C168" s="48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5.75" customHeight="1">
      <c r="A169" s="61"/>
      <c r="B169" s="49"/>
      <c r="C169" s="48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5.75" customHeight="1">
      <c r="A170" s="61"/>
      <c r="B170" s="49"/>
      <c r="C170" s="48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5.75" customHeight="1">
      <c r="A171" s="61"/>
      <c r="B171" s="49"/>
      <c r="C171" s="48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5.75" customHeight="1">
      <c r="A172" s="61"/>
      <c r="B172" s="49"/>
      <c r="C172" s="48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5.75" customHeight="1">
      <c r="A173" s="61"/>
      <c r="B173" s="49"/>
      <c r="C173" s="48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5.75" customHeight="1">
      <c r="A174" s="61"/>
      <c r="B174" s="49"/>
      <c r="C174" s="48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5.75" customHeight="1">
      <c r="A175" s="61"/>
      <c r="B175" s="49"/>
      <c r="C175" s="48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5.75" customHeight="1">
      <c r="A176" s="61"/>
      <c r="B176" s="49"/>
      <c r="C176" s="48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5.75" customHeight="1">
      <c r="A177" s="61"/>
      <c r="B177" s="49"/>
      <c r="C177" s="48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5.75" customHeight="1">
      <c r="A178" s="61"/>
      <c r="B178" s="49"/>
      <c r="C178" s="48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5.75" customHeight="1">
      <c r="A179" s="61"/>
      <c r="B179" s="49"/>
      <c r="C179" s="48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5.75" customHeight="1">
      <c r="A180" s="61"/>
      <c r="B180" s="49"/>
      <c r="C180" s="48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5.75" customHeight="1">
      <c r="A181" s="61"/>
      <c r="B181" s="49"/>
      <c r="C181" s="48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5.75" customHeight="1">
      <c r="A182" s="61"/>
      <c r="B182" s="49"/>
      <c r="C182" s="48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5.75" customHeight="1">
      <c r="A183" s="61"/>
      <c r="B183" s="49"/>
      <c r="C183" s="48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5.75" customHeight="1">
      <c r="A184" s="61"/>
      <c r="B184" s="49"/>
      <c r="C184" s="48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5.75" customHeight="1">
      <c r="A185" s="61"/>
      <c r="B185" s="49"/>
      <c r="C185" s="48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5.75" customHeight="1">
      <c r="A186" s="61"/>
      <c r="B186" s="49"/>
      <c r="C186" s="48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5.75" customHeight="1">
      <c r="A187" s="61"/>
      <c r="B187" s="49"/>
      <c r="C187" s="48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5.75" customHeight="1">
      <c r="A188" s="61"/>
      <c r="B188" s="49"/>
      <c r="C188" s="48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5.75" customHeight="1">
      <c r="A189" s="61"/>
      <c r="B189" s="49"/>
      <c r="C189" s="48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5.75" customHeight="1">
      <c r="A190" s="61"/>
      <c r="B190" s="49"/>
      <c r="C190" s="48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5.75" customHeight="1">
      <c r="A191" s="61"/>
      <c r="B191" s="49"/>
      <c r="C191" s="48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5.75" customHeight="1">
      <c r="A192" s="61"/>
      <c r="B192" s="49"/>
      <c r="C192" s="48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5.75" customHeight="1">
      <c r="A193" s="61"/>
      <c r="B193" s="49"/>
      <c r="C193" s="48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5.75" customHeight="1">
      <c r="A194" s="61"/>
      <c r="B194" s="49"/>
      <c r="C194" s="48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5.75" customHeight="1">
      <c r="A195" s="61"/>
      <c r="B195" s="49"/>
      <c r="C195" s="48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5.75" customHeight="1">
      <c r="A196" s="61"/>
      <c r="B196" s="49"/>
      <c r="C196" s="48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5.75" customHeight="1">
      <c r="A197" s="61"/>
      <c r="B197" s="49"/>
      <c r="C197" s="48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5.75" customHeight="1">
      <c r="A198" s="61"/>
      <c r="B198" s="49"/>
      <c r="C198" s="48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5.75" customHeight="1">
      <c r="A199" s="61"/>
      <c r="B199" s="49"/>
      <c r="C199" s="48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5.75" customHeight="1">
      <c r="A200" s="61"/>
      <c r="B200" s="49"/>
      <c r="C200" s="48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5.75" customHeight="1">
      <c r="A201" s="61"/>
      <c r="B201" s="49"/>
      <c r="C201" s="48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5.75" customHeight="1">
      <c r="A202" s="61"/>
      <c r="B202" s="49"/>
      <c r="C202" s="48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5.75" customHeight="1">
      <c r="A203" s="61"/>
      <c r="B203" s="49"/>
      <c r="C203" s="48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5.75" customHeight="1">
      <c r="A204" s="61"/>
      <c r="B204" s="49"/>
      <c r="C204" s="48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5.75" customHeight="1">
      <c r="A205" s="61"/>
      <c r="B205" s="49"/>
      <c r="C205" s="48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5.75" customHeight="1">
      <c r="A206" s="61"/>
      <c r="B206" s="49"/>
      <c r="C206" s="48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5.75" customHeight="1">
      <c r="A207" s="61"/>
      <c r="B207" s="49"/>
      <c r="C207" s="48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5.75" customHeight="1">
      <c r="A208" s="61"/>
      <c r="B208" s="49"/>
      <c r="C208" s="48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5.75" customHeight="1">
      <c r="A209" s="61"/>
      <c r="B209" s="49"/>
      <c r="C209" s="48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5.75" customHeight="1">
      <c r="A210" s="61"/>
      <c r="B210" s="49"/>
      <c r="C210" s="48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5.75" customHeight="1">
      <c r="A211" s="61"/>
      <c r="B211" s="49"/>
      <c r="C211" s="48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5.75" customHeight="1">
      <c r="A212" s="61"/>
      <c r="B212" s="49"/>
      <c r="C212" s="48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5.75" customHeight="1">
      <c r="A213" s="61"/>
      <c r="B213" s="49"/>
      <c r="C213" s="48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5.75" customHeight="1">
      <c r="A214" s="61"/>
      <c r="B214" s="49"/>
      <c r="C214" s="48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5.75" customHeight="1">
      <c r="A215" s="61"/>
      <c r="B215" s="49"/>
      <c r="C215" s="48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5.75" customHeight="1">
      <c r="A216" s="61"/>
      <c r="B216" s="49"/>
      <c r="C216" s="48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5.75" customHeight="1">
      <c r="A217" s="61"/>
      <c r="B217" s="49"/>
      <c r="C217" s="48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5.75" customHeight="1">
      <c r="A218" s="61"/>
      <c r="B218" s="49"/>
      <c r="C218" s="48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5.75" customHeight="1">
      <c r="A219" s="61"/>
      <c r="B219" s="49"/>
      <c r="C219" s="48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5.75" customHeight="1">
      <c r="A220" s="61"/>
      <c r="B220" s="49"/>
      <c r="C220" s="48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>
      <c r="A221" s="61"/>
      <c r="B221" s="49"/>
      <c r="C221" s="48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5.75" customHeight="1">
      <c r="A222" s="61"/>
      <c r="B222" s="49"/>
      <c r="C222" s="48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>
      <c r="A223" s="61"/>
      <c r="B223" s="49"/>
      <c r="C223" s="48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5.75" customHeight="1">
      <c r="A224" s="61"/>
      <c r="B224" s="49"/>
      <c r="C224" s="48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5.75" customHeight="1">
      <c r="A225" s="61"/>
      <c r="B225" s="49"/>
      <c r="C225" s="48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5.75" customHeight="1">
      <c r="A226" s="61"/>
      <c r="B226" s="49"/>
      <c r="C226" s="48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5.75" customHeight="1">
      <c r="A227" s="61"/>
      <c r="B227" s="49"/>
      <c r="C227" s="48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5.75" customHeight="1">
      <c r="A228" s="61"/>
      <c r="B228" s="49"/>
      <c r="C228" s="48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5.75" customHeight="1">
      <c r="A229" s="61"/>
      <c r="B229" s="49"/>
      <c r="C229" s="48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5.75" customHeight="1">
      <c r="A230" s="61"/>
      <c r="B230" s="49"/>
      <c r="C230" s="48"/>
      <c r="D230" s="49"/>
      <c r="E230" s="49"/>
      <c r="F230" s="49"/>
      <c r="G230" s="49"/>
      <c r="H230" s="49"/>
      <c r="I230" s="49"/>
      <c r="J230" s="49"/>
      <c r="K230" s="49"/>
    </row>
    <row r="231" spans="1:26" ht="15.75" customHeight="1">
      <c r="A231" s="61"/>
      <c r="B231" s="49"/>
      <c r="C231" s="48"/>
      <c r="D231" s="49"/>
      <c r="E231" s="49"/>
      <c r="F231" s="49"/>
      <c r="G231" s="49"/>
      <c r="H231" s="49"/>
      <c r="I231" s="49"/>
      <c r="J231" s="49"/>
      <c r="K231" s="49"/>
    </row>
    <row r="232" spans="1:26" ht="15.75" customHeight="1">
      <c r="A232" s="61"/>
      <c r="B232" s="49"/>
      <c r="C232" s="48"/>
      <c r="D232" s="49"/>
      <c r="E232" s="49"/>
      <c r="F232" s="49"/>
      <c r="G232" s="49"/>
      <c r="H232" s="49"/>
      <c r="I232" s="49"/>
      <c r="J232" s="49"/>
      <c r="K232" s="49"/>
    </row>
    <row r="233" spans="1:26" ht="15.75" customHeight="1">
      <c r="A233" s="61"/>
      <c r="B233" s="49"/>
      <c r="C233" s="48"/>
      <c r="D233" s="49"/>
      <c r="E233" s="49"/>
      <c r="F233" s="49"/>
      <c r="G233" s="49"/>
      <c r="H233" s="49"/>
      <c r="I233" s="49"/>
      <c r="J233" s="49"/>
      <c r="K233" s="49"/>
    </row>
    <row r="234" spans="1:26" ht="15.75" customHeight="1">
      <c r="A234" s="61"/>
      <c r="B234" s="49"/>
      <c r="C234" s="48"/>
      <c r="D234" s="49"/>
      <c r="E234" s="49"/>
      <c r="F234" s="49"/>
      <c r="G234" s="49"/>
      <c r="H234" s="49"/>
      <c r="I234" s="49"/>
      <c r="J234" s="49"/>
      <c r="K234" s="49"/>
    </row>
    <row r="235" spans="1:26" ht="15.75" customHeight="1">
      <c r="A235" s="61"/>
      <c r="B235" s="49"/>
      <c r="C235" s="48"/>
      <c r="D235" s="49"/>
      <c r="E235" s="49"/>
      <c r="F235" s="49"/>
      <c r="G235" s="49"/>
      <c r="H235" s="49"/>
      <c r="I235" s="49"/>
      <c r="J235" s="49"/>
      <c r="K235" s="49"/>
    </row>
    <row r="236" spans="1:26" ht="15.75" customHeight="1">
      <c r="A236" s="61"/>
      <c r="B236" s="49"/>
      <c r="C236" s="48"/>
      <c r="D236" s="49"/>
      <c r="E236" s="49"/>
      <c r="F236" s="49"/>
      <c r="G236" s="49"/>
      <c r="H236" s="49"/>
      <c r="I236" s="49"/>
      <c r="J236" s="49"/>
      <c r="K236" s="49"/>
    </row>
    <row r="237" spans="1:26" ht="15.75" customHeight="1">
      <c r="A237" s="61"/>
      <c r="B237" s="49"/>
      <c r="C237" s="48"/>
      <c r="D237" s="49"/>
      <c r="E237" s="49"/>
      <c r="F237" s="49"/>
      <c r="G237" s="49"/>
      <c r="H237" s="49"/>
      <c r="I237" s="49"/>
      <c r="J237" s="49"/>
      <c r="K237" s="49"/>
    </row>
    <row r="238" spans="1:26" ht="15.75" customHeight="1">
      <c r="A238" s="61"/>
      <c r="B238" s="49"/>
      <c r="C238" s="48"/>
      <c r="D238" s="49"/>
      <c r="E238" s="49"/>
      <c r="F238" s="49"/>
      <c r="G238" s="49"/>
      <c r="H238" s="49"/>
      <c r="I238" s="49"/>
      <c r="J238" s="49"/>
      <c r="K238" s="49"/>
    </row>
    <row r="239" spans="1:26" ht="15.75" customHeight="1">
      <c r="A239" s="61"/>
      <c r="B239" s="49"/>
      <c r="C239" s="48"/>
      <c r="D239" s="49"/>
      <c r="E239" s="49"/>
      <c r="F239" s="49"/>
      <c r="G239" s="49"/>
      <c r="H239" s="49"/>
      <c r="I239" s="49"/>
      <c r="J239" s="49"/>
      <c r="K239" s="49"/>
    </row>
    <row r="240" spans="1:26" ht="15.75" customHeight="1">
      <c r="A240" s="61"/>
      <c r="B240" s="49"/>
      <c r="C240" s="48"/>
      <c r="D240" s="49"/>
      <c r="E240" s="49"/>
      <c r="F240" s="49"/>
      <c r="G240" s="49"/>
      <c r="H240" s="49"/>
      <c r="I240" s="49"/>
      <c r="J240" s="49"/>
      <c r="K240" s="49"/>
    </row>
    <row r="241" spans="1:11" ht="15.75" customHeight="1">
      <c r="A241" s="61"/>
      <c r="B241" s="49"/>
      <c r="C241" s="48"/>
      <c r="D241" s="49"/>
      <c r="E241" s="49"/>
      <c r="F241" s="49"/>
      <c r="G241" s="49"/>
      <c r="H241" s="49"/>
      <c r="I241" s="49"/>
      <c r="J241" s="49"/>
      <c r="K241" s="49"/>
    </row>
    <row r="242" spans="1:11" ht="15.75" customHeight="1">
      <c r="A242" s="61"/>
      <c r="B242" s="49"/>
      <c r="C242" s="48"/>
      <c r="D242" s="49"/>
      <c r="E242" s="49"/>
      <c r="F242" s="49"/>
      <c r="G242" s="49"/>
      <c r="H242" s="49"/>
      <c r="I242" s="49"/>
      <c r="J242" s="49"/>
      <c r="K242" s="49"/>
    </row>
    <row r="243" spans="1:11" ht="15.75" customHeight="1">
      <c r="A243" s="61"/>
      <c r="B243" s="49"/>
      <c r="C243" s="48"/>
      <c r="D243" s="49"/>
      <c r="E243" s="49"/>
      <c r="F243" s="49"/>
      <c r="G243" s="49"/>
      <c r="H243" s="49"/>
      <c r="I243" s="49"/>
      <c r="J243" s="49"/>
      <c r="K243" s="49"/>
    </row>
    <row r="244" spans="1:11" ht="15.75" customHeight="1">
      <c r="A244" s="61"/>
      <c r="B244" s="49"/>
      <c r="C244" s="48"/>
      <c r="D244" s="49"/>
      <c r="E244" s="49"/>
      <c r="F244" s="49"/>
      <c r="G244" s="49"/>
      <c r="H244" s="49"/>
      <c r="I244" s="49"/>
      <c r="J244" s="49"/>
      <c r="K244" s="49"/>
    </row>
    <row r="245" spans="1:11" ht="15.75" customHeight="1">
      <c r="A245" s="61"/>
      <c r="B245" s="49"/>
      <c r="C245" s="48"/>
      <c r="D245" s="49"/>
      <c r="E245" s="49"/>
      <c r="F245" s="49"/>
      <c r="G245" s="49"/>
      <c r="H245" s="49"/>
      <c r="I245" s="49"/>
      <c r="J245" s="49"/>
      <c r="K245" s="49"/>
    </row>
    <row r="246" spans="1:11" ht="15.75" customHeight="1">
      <c r="A246" s="61"/>
      <c r="B246" s="49"/>
      <c r="C246" s="48"/>
      <c r="D246" s="49"/>
      <c r="E246" s="49"/>
      <c r="F246" s="49"/>
      <c r="G246" s="49"/>
      <c r="H246" s="49"/>
      <c r="I246" s="49"/>
      <c r="J246" s="49"/>
      <c r="K246" s="49"/>
    </row>
    <row r="247" spans="1:11" ht="15.75" customHeight="1">
      <c r="A247" s="61"/>
      <c r="C247" s="48"/>
    </row>
    <row r="248" spans="1:11" ht="15.75" customHeight="1">
      <c r="A248" s="61"/>
      <c r="C248" s="48"/>
    </row>
    <row r="249" spans="1:11" ht="15.75" customHeight="1">
      <c r="A249" s="61"/>
      <c r="C249" s="48"/>
    </row>
    <row r="250" spans="1:11" ht="15.75" customHeight="1">
      <c r="A250" s="61"/>
      <c r="C250" s="48"/>
    </row>
    <row r="251" spans="1:11" ht="15.75" customHeight="1">
      <c r="A251" s="61"/>
      <c r="C251" s="48"/>
    </row>
    <row r="252" spans="1:11" ht="15.75" customHeight="1">
      <c r="A252" s="61"/>
      <c r="C252" s="48"/>
    </row>
    <row r="253" spans="1:11" ht="15.75" customHeight="1">
      <c r="A253" s="61"/>
      <c r="C253" s="48"/>
    </row>
    <row r="254" spans="1:11" ht="15.75" customHeight="1">
      <c r="A254" s="61"/>
      <c r="C254" s="48"/>
    </row>
    <row r="255" spans="1:11" ht="15.75" customHeight="1">
      <c r="A255" s="61"/>
      <c r="C255" s="48"/>
    </row>
    <row r="256" spans="1:11" ht="15.75" customHeight="1">
      <c r="A256" s="61"/>
      <c r="C256" s="48"/>
    </row>
    <row r="257" spans="1:3" ht="15.75" customHeight="1">
      <c r="A257" s="61"/>
      <c r="C257" s="48"/>
    </row>
    <row r="258" spans="1:3" ht="15.75" customHeight="1">
      <c r="A258" s="61"/>
      <c r="C258" s="48"/>
    </row>
    <row r="259" spans="1:3" ht="15.75" customHeight="1">
      <c r="A259" s="61"/>
      <c r="C259" s="48"/>
    </row>
    <row r="260" spans="1:3" ht="15.75" customHeight="1">
      <c r="A260" s="61"/>
      <c r="C260" s="48"/>
    </row>
    <row r="261" spans="1:3" ht="15.75" customHeight="1">
      <c r="A261" s="61"/>
      <c r="C261" s="48"/>
    </row>
    <row r="262" spans="1:3" ht="15.75" customHeight="1">
      <c r="A262" s="61"/>
      <c r="C262" s="48"/>
    </row>
    <row r="263" spans="1:3" ht="15.75" customHeight="1">
      <c r="A263" s="61"/>
      <c r="C263" s="48"/>
    </row>
    <row r="264" spans="1:3" ht="15.75" customHeight="1">
      <c r="A264" s="61"/>
      <c r="C264" s="48"/>
    </row>
    <row r="265" spans="1:3" ht="15.75" customHeight="1">
      <c r="A265" s="61"/>
      <c r="C265" s="48"/>
    </row>
    <row r="266" spans="1:3" ht="15.75" customHeight="1">
      <c r="A266" s="61"/>
      <c r="C266" s="48"/>
    </row>
    <row r="267" spans="1:3" ht="15.75" customHeight="1">
      <c r="A267" s="61"/>
      <c r="C267" s="48"/>
    </row>
    <row r="268" spans="1:3" ht="15.75" customHeight="1">
      <c r="A268" s="61"/>
      <c r="C268" s="48"/>
    </row>
    <row r="269" spans="1:3" ht="15.75" customHeight="1">
      <c r="A269" s="61"/>
      <c r="C269" s="48"/>
    </row>
    <row r="270" spans="1:3" ht="15.75" customHeight="1">
      <c r="A270" s="61"/>
      <c r="C270" s="48"/>
    </row>
    <row r="271" spans="1:3" ht="15.75" customHeight="1">
      <c r="A271" s="61"/>
      <c r="C271" s="48"/>
    </row>
    <row r="272" spans="1:3" ht="15.75" customHeight="1">
      <c r="A272" s="61"/>
      <c r="C272" s="48"/>
    </row>
    <row r="273" spans="1:3" ht="15.75" customHeight="1">
      <c r="A273" s="61"/>
      <c r="C273" s="48"/>
    </row>
    <row r="274" spans="1:3" ht="15.75" customHeight="1">
      <c r="A274" s="61"/>
      <c r="C274" s="48"/>
    </row>
    <row r="275" spans="1:3" ht="15.75" customHeight="1">
      <c r="A275" s="61"/>
      <c r="C275" s="48"/>
    </row>
    <row r="276" spans="1:3" ht="15.75" customHeight="1">
      <c r="A276" s="61"/>
      <c r="C276" s="48"/>
    </row>
    <row r="277" spans="1:3" ht="15.75" customHeight="1">
      <c r="A277" s="61"/>
      <c r="C277" s="48"/>
    </row>
    <row r="278" spans="1:3" ht="15.75" customHeight="1">
      <c r="A278" s="61"/>
      <c r="C278" s="48"/>
    </row>
    <row r="279" spans="1:3" ht="15.75" customHeight="1">
      <c r="A279" s="61"/>
      <c r="C279" s="48"/>
    </row>
    <row r="280" spans="1:3" ht="15.75" customHeight="1">
      <c r="A280" s="61"/>
      <c r="C280" s="48"/>
    </row>
    <row r="281" spans="1:3" ht="15.75" customHeight="1">
      <c r="A281" s="61"/>
      <c r="C281" s="48"/>
    </row>
    <row r="282" spans="1:3" ht="15.75" customHeight="1">
      <c r="A282" s="61"/>
      <c r="C282" s="48"/>
    </row>
    <row r="283" spans="1:3" ht="15.75" customHeight="1">
      <c r="A283" s="61"/>
      <c r="C283" s="48"/>
    </row>
    <row r="284" spans="1:3" ht="15.75" customHeight="1">
      <c r="A284" s="61"/>
      <c r="C284" s="48"/>
    </row>
    <row r="285" spans="1:3" ht="15.75" customHeight="1">
      <c r="A285" s="61"/>
      <c r="C285" s="48"/>
    </row>
    <row r="286" spans="1:3" ht="15.75" customHeight="1">
      <c r="A286" s="61"/>
      <c r="C286" s="48"/>
    </row>
    <row r="287" spans="1:3" ht="15.75" customHeight="1">
      <c r="A287" s="61"/>
      <c r="C287" s="48"/>
    </row>
    <row r="288" spans="1:3" ht="15.75" customHeight="1">
      <c r="A288" s="61"/>
      <c r="C288" s="48"/>
    </row>
    <row r="289" spans="1:3" ht="15.75" customHeight="1">
      <c r="A289" s="61"/>
      <c r="C289" s="48"/>
    </row>
    <row r="290" spans="1:3" ht="15.75" customHeight="1">
      <c r="A290" s="61"/>
      <c r="C290" s="48"/>
    </row>
    <row r="291" spans="1:3" ht="15.75" customHeight="1">
      <c r="A291" s="61"/>
      <c r="C291" s="48"/>
    </row>
    <row r="292" spans="1:3" ht="15.75" customHeight="1">
      <c r="A292" s="61"/>
      <c r="C292" s="48"/>
    </row>
    <row r="293" spans="1:3" ht="15.75" customHeight="1">
      <c r="A293" s="61"/>
      <c r="C293" s="48"/>
    </row>
    <row r="294" spans="1:3" ht="15.75" customHeight="1">
      <c r="A294" s="61"/>
      <c r="C294" s="48"/>
    </row>
    <row r="295" spans="1:3" ht="15.75" customHeight="1">
      <c r="A295" s="61"/>
      <c r="C295" s="48"/>
    </row>
    <row r="296" spans="1:3" ht="15.75" customHeight="1">
      <c r="A296" s="61"/>
      <c r="C296" s="48"/>
    </row>
    <row r="297" spans="1:3" ht="15.75" customHeight="1">
      <c r="A297" s="61"/>
      <c r="C297" s="48"/>
    </row>
    <row r="298" spans="1:3" ht="15.75" customHeight="1">
      <c r="A298" s="61"/>
      <c r="C298" s="48"/>
    </row>
    <row r="299" spans="1:3" ht="15.75" customHeight="1">
      <c r="A299" s="61"/>
      <c r="C299" s="48"/>
    </row>
    <row r="300" spans="1:3" ht="15.75" customHeight="1">
      <c r="A300" s="61"/>
      <c r="C300" s="48"/>
    </row>
    <row r="301" spans="1:3" ht="15.75" customHeight="1">
      <c r="A301" s="61"/>
      <c r="C301" s="48"/>
    </row>
    <row r="302" spans="1:3" ht="15.75" customHeight="1">
      <c r="A302" s="61"/>
      <c r="C302" s="48"/>
    </row>
    <row r="303" spans="1:3" ht="15.75" customHeight="1">
      <c r="A303" s="61"/>
      <c r="C303" s="48"/>
    </row>
    <row r="304" spans="1:3" ht="15.75" customHeight="1">
      <c r="A304" s="61"/>
      <c r="C304" s="48"/>
    </row>
    <row r="305" spans="1:3" ht="15.75" customHeight="1">
      <c r="A305" s="61"/>
      <c r="C305" s="48"/>
    </row>
    <row r="306" spans="1:3" ht="15.75" customHeight="1">
      <c r="A306" s="61"/>
      <c r="C306" s="48"/>
    </row>
    <row r="307" spans="1:3" ht="15.75" customHeight="1">
      <c r="A307" s="61"/>
      <c r="C307" s="48"/>
    </row>
    <row r="308" spans="1:3" ht="15.75" customHeight="1">
      <c r="A308" s="61"/>
      <c r="C308" s="48"/>
    </row>
    <row r="309" spans="1:3" ht="15.75" customHeight="1">
      <c r="A309" s="61"/>
      <c r="C309" s="48"/>
    </row>
    <row r="310" spans="1:3" ht="15.75" customHeight="1">
      <c r="A310" s="61"/>
      <c r="C310" s="48"/>
    </row>
    <row r="311" spans="1:3" ht="15.75" customHeight="1">
      <c r="A311" s="61"/>
      <c r="C311" s="48"/>
    </row>
    <row r="312" spans="1:3" ht="15.75" customHeight="1">
      <c r="A312" s="61"/>
      <c r="C312" s="48"/>
    </row>
    <row r="313" spans="1:3" ht="15.75" customHeight="1">
      <c r="A313" s="61"/>
      <c r="C313" s="48"/>
    </row>
    <row r="314" spans="1:3" ht="15.75" customHeight="1">
      <c r="A314" s="61"/>
      <c r="C314" s="48"/>
    </row>
    <row r="315" spans="1:3" ht="15.75" customHeight="1">
      <c r="A315" s="61"/>
      <c r="C315" s="48"/>
    </row>
    <row r="316" spans="1:3" ht="15.75" customHeight="1">
      <c r="A316" s="61"/>
      <c r="C316" s="48"/>
    </row>
    <row r="317" spans="1:3" ht="15.75" customHeight="1">
      <c r="A317" s="61"/>
      <c r="C317" s="48"/>
    </row>
    <row r="318" spans="1:3" ht="15.75" customHeight="1">
      <c r="A318" s="61"/>
      <c r="C318" s="48"/>
    </row>
    <row r="319" spans="1:3" ht="15.75" customHeight="1">
      <c r="A319" s="61"/>
      <c r="C319" s="48"/>
    </row>
    <row r="320" spans="1:3" ht="15.75" customHeight="1">
      <c r="A320" s="61"/>
      <c r="C320" s="48"/>
    </row>
    <row r="321" spans="1:3" ht="15.75" customHeight="1">
      <c r="A321" s="61"/>
      <c r="C321" s="48"/>
    </row>
    <row r="322" spans="1:3" ht="15.75" customHeight="1">
      <c r="A322" s="61"/>
      <c r="C322" s="48"/>
    </row>
    <row r="323" spans="1:3" ht="15.75" customHeight="1">
      <c r="A323" s="61"/>
      <c r="C323" s="48"/>
    </row>
    <row r="324" spans="1:3" ht="15.75" customHeight="1">
      <c r="A324" s="61"/>
      <c r="C324" s="48"/>
    </row>
    <row r="325" spans="1:3" ht="15.75" customHeight="1">
      <c r="A325" s="61"/>
      <c r="C325" s="48"/>
    </row>
    <row r="326" spans="1:3" ht="15.75" customHeight="1">
      <c r="A326" s="61"/>
      <c r="C326" s="48"/>
    </row>
    <row r="327" spans="1:3" ht="15.75" customHeight="1">
      <c r="A327" s="61"/>
      <c r="C327" s="48"/>
    </row>
    <row r="328" spans="1:3" ht="15.75" customHeight="1">
      <c r="A328" s="61"/>
      <c r="C328" s="48"/>
    </row>
    <row r="329" spans="1:3" ht="15.75" customHeight="1">
      <c r="A329" s="61"/>
      <c r="C329" s="48"/>
    </row>
    <row r="330" spans="1:3" ht="15.75" customHeight="1">
      <c r="A330" s="61"/>
      <c r="C330" s="48"/>
    </row>
    <row r="331" spans="1:3" ht="15.75" customHeight="1">
      <c r="A331" s="61"/>
      <c r="C331" s="48"/>
    </row>
    <row r="332" spans="1:3" ht="15.75" customHeight="1">
      <c r="A332" s="61"/>
      <c r="C332" s="48"/>
    </row>
    <row r="333" spans="1:3" ht="15.75" customHeight="1">
      <c r="A333" s="61"/>
      <c r="C333" s="48"/>
    </row>
    <row r="334" spans="1:3" ht="15.75" customHeight="1">
      <c r="A334" s="61"/>
      <c r="C334" s="48"/>
    </row>
    <row r="335" spans="1:3" ht="15.75" customHeight="1">
      <c r="A335" s="61"/>
      <c r="C335" s="48"/>
    </row>
    <row r="336" spans="1:3" ht="15.75" customHeight="1">
      <c r="A336" s="61"/>
      <c r="C336" s="48"/>
    </row>
    <row r="337" spans="1:3" ht="15.75" customHeight="1">
      <c r="A337" s="61"/>
      <c r="C337" s="48"/>
    </row>
    <row r="338" spans="1:3" ht="15.75" customHeight="1">
      <c r="A338" s="61"/>
      <c r="C338" s="48"/>
    </row>
    <row r="339" spans="1:3" ht="15.75" customHeight="1">
      <c r="A339" s="61"/>
      <c r="C339" s="48"/>
    </row>
    <row r="340" spans="1:3" ht="15.75" customHeight="1">
      <c r="A340" s="61"/>
      <c r="C340" s="48"/>
    </row>
    <row r="341" spans="1:3" ht="15.75" customHeight="1">
      <c r="A341" s="61"/>
      <c r="C341" s="48"/>
    </row>
    <row r="342" spans="1:3" ht="15.75" customHeight="1">
      <c r="A342" s="61"/>
      <c r="C342" s="48"/>
    </row>
    <row r="343" spans="1:3" ht="15.75" customHeight="1">
      <c r="A343" s="61"/>
      <c r="C343" s="48"/>
    </row>
    <row r="344" spans="1:3" ht="15.75" customHeight="1">
      <c r="A344" s="61"/>
      <c r="C344" s="48"/>
    </row>
    <row r="345" spans="1:3" ht="15.75" customHeight="1">
      <c r="A345" s="61"/>
      <c r="C345" s="48"/>
    </row>
    <row r="346" spans="1:3" ht="15.75" customHeight="1">
      <c r="A346" s="61"/>
      <c r="C346" s="48"/>
    </row>
    <row r="347" spans="1:3" ht="15.75" customHeight="1">
      <c r="A347" s="61"/>
      <c r="C347" s="48"/>
    </row>
    <row r="348" spans="1:3" ht="15.75" customHeight="1">
      <c r="A348" s="61"/>
      <c r="C348" s="48"/>
    </row>
    <row r="349" spans="1:3" ht="15.75" customHeight="1">
      <c r="A349" s="61"/>
      <c r="C349" s="48"/>
    </row>
    <row r="350" spans="1:3" ht="15.75" customHeight="1">
      <c r="A350" s="61"/>
      <c r="C350" s="48"/>
    </row>
    <row r="351" spans="1:3" ht="15.75" customHeight="1">
      <c r="A351" s="61"/>
      <c r="C351" s="48"/>
    </row>
    <row r="352" spans="1:3" ht="15.75" customHeight="1">
      <c r="A352" s="61"/>
      <c r="C352" s="48"/>
    </row>
    <row r="353" spans="1:3" ht="15.75" customHeight="1">
      <c r="A353" s="61"/>
      <c r="C353" s="48"/>
    </row>
    <row r="354" spans="1:3" ht="15.75" customHeight="1">
      <c r="A354" s="61"/>
      <c r="C354" s="48"/>
    </row>
    <row r="355" spans="1:3" ht="15.75" customHeight="1">
      <c r="A355" s="61"/>
      <c r="C355" s="48"/>
    </row>
    <row r="356" spans="1:3" ht="15.75" customHeight="1">
      <c r="A356" s="61"/>
      <c r="C356" s="48"/>
    </row>
    <row r="357" spans="1:3" ht="15.75" customHeight="1">
      <c r="A357" s="61"/>
      <c r="C357" s="48"/>
    </row>
    <row r="358" spans="1:3" ht="15.75" customHeight="1">
      <c r="A358" s="61"/>
      <c r="C358" s="48"/>
    </row>
    <row r="359" spans="1:3" ht="15.75" customHeight="1">
      <c r="A359" s="61"/>
      <c r="C359" s="48"/>
    </row>
    <row r="360" spans="1:3" ht="15.75" customHeight="1">
      <c r="A360" s="61"/>
      <c r="C360" s="48"/>
    </row>
    <row r="361" spans="1:3" ht="15.75" customHeight="1">
      <c r="A361" s="61"/>
      <c r="C361" s="48"/>
    </row>
    <row r="362" spans="1:3" ht="15.75" customHeight="1">
      <c r="A362" s="61"/>
      <c r="C362" s="48"/>
    </row>
    <row r="363" spans="1:3" ht="15.75" customHeight="1">
      <c r="A363" s="61"/>
      <c r="C363" s="48"/>
    </row>
    <row r="364" spans="1:3" ht="15.75" customHeight="1">
      <c r="A364" s="61"/>
      <c r="C364" s="48"/>
    </row>
    <row r="365" spans="1:3" ht="15.75" customHeight="1">
      <c r="A365" s="61"/>
      <c r="C365" s="48"/>
    </row>
    <row r="366" spans="1:3" ht="15.75" customHeight="1">
      <c r="A366" s="61"/>
      <c r="C366" s="48"/>
    </row>
    <row r="367" spans="1:3" ht="15.75" customHeight="1">
      <c r="A367" s="61"/>
      <c r="C367" s="48"/>
    </row>
    <row r="368" spans="1:3" ht="15.75" customHeight="1">
      <c r="A368" s="61"/>
      <c r="C368" s="48"/>
    </row>
    <row r="369" spans="1:3" ht="15.75" customHeight="1">
      <c r="A369" s="61"/>
      <c r="C369" s="48"/>
    </row>
    <row r="370" spans="1:3" ht="15.75" customHeight="1">
      <c r="A370" s="61"/>
      <c r="C370" s="48"/>
    </row>
    <row r="371" spans="1:3" ht="15.75" customHeight="1">
      <c r="A371" s="61"/>
      <c r="C371" s="48"/>
    </row>
    <row r="372" spans="1:3" ht="15.75" customHeight="1">
      <c r="A372" s="61"/>
      <c r="C372" s="48"/>
    </row>
    <row r="373" spans="1:3" ht="15.75" customHeight="1">
      <c r="A373" s="61"/>
      <c r="C373" s="48"/>
    </row>
    <row r="374" spans="1:3" ht="15.75" customHeight="1">
      <c r="A374" s="61"/>
      <c r="C374" s="48"/>
    </row>
    <row r="375" spans="1:3" ht="15.75" customHeight="1">
      <c r="A375" s="61"/>
      <c r="C375" s="48"/>
    </row>
    <row r="376" spans="1:3" ht="15.75" customHeight="1">
      <c r="A376" s="61"/>
      <c r="C376" s="48"/>
    </row>
    <row r="377" spans="1:3" ht="15.75" customHeight="1">
      <c r="A377" s="61"/>
      <c r="C377" s="48"/>
    </row>
    <row r="378" spans="1:3" ht="15.75" customHeight="1">
      <c r="A378" s="61"/>
      <c r="C378" s="48"/>
    </row>
    <row r="379" spans="1:3" ht="15.75" customHeight="1">
      <c r="A379" s="61"/>
      <c r="C379" s="48"/>
    </row>
    <row r="380" spans="1:3" ht="15.75" customHeight="1">
      <c r="A380" s="61"/>
      <c r="C380" s="48"/>
    </row>
    <row r="381" spans="1:3" ht="15.75" customHeight="1">
      <c r="A381" s="61"/>
      <c r="C381" s="48"/>
    </row>
    <row r="382" spans="1:3" ht="15.75" customHeight="1">
      <c r="A382" s="61"/>
      <c r="C382" s="48"/>
    </row>
    <row r="383" spans="1:3" ht="15.75" customHeight="1">
      <c r="A383" s="61"/>
      <c r="C383" s="48"/>
    </row>
    <row r="384" spans="1:3" ht="15.75" customHeight="1">
      <c r="A384" s="61"/>
      <c r="C384" s="48"/>
    </row>
    <row r="385" spans="1:3" ht="15.75" customHeight="1">
      <c r="A385" s="61"/>
      <c r="C385" s="48"/>
    </row>
    <row r="386" spans="1:3" ht="15.75" customHeight="1">
      <c r="A386" s="61"/>
      <c r="C386" s="48"/>
    </row>
    <row r="387" spans="1:3" ht="15.75" customHeight="1">
      <c r="A387" s="61"/>
      <c r="C387" s="48"/>
    </row>
    <row r="388" spans="1:3" ht="15.75" customHeight="1">
      <c r="A388" s="61"/>
      <c r="C388" s="48"/>
    </row>
    <row r="389" spans="1:3" ht="15.75" customHeight="1">
      <c r="A389" s="61"/>
      <c r="C389" s="48"/>
    </row>
    <row r="390" spans="1:3" ht="15.75" customHeight="1">
      <c r="A390" s="61"/>
      <c r="C390" s="48"/>
    </row>
    <row r="391" spans="1:3" ht="15.75" customHeight="1">
      <c r="A391" s="61"/>
      <c r="C391" s="48"/>
    </row>
    <row r="392" spans="1:3" ht="15.75" customHeight="1">
      <c r="A392" s="61"/>
      <c r="C392" s="48"/>
    </row>
    <row r="393" spans="1:3" ht="15.75" customHeight="1">
      <c r="A393" s="61"/>
      <c r="C393" s="48"/>
    </row>
    <row r="394" spans="1:3" ht="15.75" customHeight="1">
      <c r="A394" s="61"/>
      <c r="C394" s="48"/>
    </row>
    <row r="395" spans="1:3" ht="15.75" customHeight="1">
      <c r="A395" s="61"/>
      <c r="C395" s="48"/>
    </row>
    <row r="396" spans="1:3" ht="15.75" customHeight="1">
      <c r="A396" s="61"/>
      <c r="C396" s="48"/>
    </row>
    <row r="397" spans="1:3" ht="15.75" customHeight="1">
      <c r="A397" s="61"/>
      <c r="C397" s="48"/>
    </row>
    <row r="398" spans="1:3" ht="15.75" customHeight="1">
      <c r="A398" s="61"/>
      <c r="C398" s="48"/>
    </row>
    <row r="399" spans="1:3" ht="15.75" customHeight="1">
      <c r="A399" s="61"/>
      <c r="C399" s="48"/>
    </row>
    <row r="400" spans="1:3" ht="15.75" customHeight="1">
      <c r="A400" s="61"/>
      <c r="C400" s="48"/>
    </row>
    <row r="401" spans="1:3" ht="15.75" customHeight="1">
      <c r="A401" s="61"/>
      <c r="C401" s="48"/>
    </row>
    <row r="402" spans="1:3" ht="15.75" customHeight="1">
      <c r="A402" s="61"/>
      <c r="C402" s="48"/>
    </row>
    <row r="403" spans="1:3" ht="15.75" customHeight="1">
      <c r="A403" s="61"/>
      <c r="C403" s="48"/>
    </row>
    <row r="404" spans="1:3" ht="15.75" customHeight="1">
      <c r="A404" s="61"/>
      <c r="C404" s="48"/>
    </row>
    <row r="405" spans="1:3" ht="15.75" customHeight="1">
      <c r="A405" s="61"/>
      <c r="C405" s="48"/>
    </row>
    <row r="406" spans="1:3" ht="15.75" customHeight="1">
      <c r="A406" s="61"/>
      <c r="C406" s="48"/>
    </row>
    <row r="407" spans="1:3" ht="15.75" customHeight="1">
      <c r="A407" s="61"/>
      <c r="C407" s="48"/>
    </row>
    <row r="408" spans="1:3" ht="15.75" customHeight="1">
      <c r="A408" s="61"/>
      <c r="C408" s="48"/>
    </row>
    <row r="409" spans="1:3" ht="15.75" customHeight="1">
      <c r="A409" s="61"/>
      <c r="C409" s="48"/>
    </row>
    <row r="410" spans="1:3" ht="15.75" customHeight="1">
      <c r="A410" s="61"/>
      <c r="C410" s="48"/>
    </row>
    <row r="411" spans="1:3" ht="15.75" customHeight="1">
      <c r="A411" s="61"/>
      <c r="C411" s="48"/>
    </row>
    <row r="412" spans="1:3" ht="15.75" customHeight="1">
      <c r="A412" s="61"/>
      <c r="C412" s="48"/>
    </row>
    <row r="413" spans="1:3" ht="15.75" customHeight="1">
      <c r="A413" s="61"/>
      <c r="C413" s="48"/>
    </row>
    <row r="414" spans="1:3" ht="15.75" customHeight="1">
      <c r="A414" s="61"/>
      <c r="C414" s="48"/>
    </row>
    <row r="415" spans="1:3" ht="15.75" customHeight="1">
      <c r="A415" s="61"/>
      <c r="C415" s="48"/>
    </row>
    <row r="416" spans="1:3" ht="15.75" customHeight="1">
      <c r="A416" s="61"/>
      <c r="C416" s="48"/>
    </row>
    <row r="417" spans="1:3" ht="15.75" customHeight="1">
      <c r="A417" s="61"/>
      <c r="C417" s="48"/>
    </row>
    <row r="418" spans="1:3" ht="15.75" customHeight="1">
      <c r="A418" s="61"/>
      <c r="C418" s="48"/>
    </row>
    <row r="419" spans="1:3" ht="15.75" customHeight="1">
      <c r="A419" s="61"/>
      <c r="C419" s="48"/>
    </row>
    <row r="420" spans="1:3" ht="15.75" customHeight="1">
      <c r="A420" s="61"/>
      <c r="C420" s="48"/>
    </row>
    <row r="421" spans="1:3" ht="15.75" customHeight="1">
      <c r="A421" s="61"/>
      <c r="C421" s="48"/>
    </row>
    <row r="422" spans="1:3" ht="15.75" customHeight="1">
      <c r="A422" s="61"/>
      <c r="C422" s="48"/>
    </row>
    <row r="423" spans="1:3" ht="15.75" customHeight="1">
      <c r="A423" s="61"/>
      <c r="C423" s="48"/>
    </row>
    <row r="424" spans="1:3" ht="15.75" customHeight="1">
      <c r="A424" s="61"/>
      <c r="C424" s="48"/>
    </row>
    <row r="425" spans="1:3" ht="15.75" customHeight="1">
      <c r="A425" s="61"/>
      <c r="C425" s="48"/>
    </row>
    <row r="426" spans="1:3" ht="15.75" customHeight="1">
      <c r="A426" s="61"/>
      <c r="C426" s="48"/>
    </row>
    <row r="427" spans="1:3" ht="15.75" customHeight="1">
      <c r="A427" s="61"/>
      <c r="C427" s="48"/>
    </row>
    <row r="428" spans="1:3" ht="15.75" customHeight="1">
      <c r="A428" s="61"/>
      <c r="C428" s="48"/>
    </row>
    <row r="429" spans="1:3" ht="15.75" customHeight="1">
      <c r="A429" s="61"/>
      <c r="C429" s="48"/>
    </row>
    <row r="430" spans="1:3" ht="15.75" customHeight="1">
      <c r="A430" s="61"/>
      <c r="C430" s="48"/>
    </row>
    <row r="431" spans="1:3" ht="15.75" customHeight="1">
      <c r="A431" s="61"/>
      <c r="C431" s="48"/>
    </row>
    <row r="432" spans="1:3" ht="15.75" customHeight="1">
      <c r="A432" s="61"/>
      <c r="C432" s="48"/>
    </row>
    <row r="433" spans="1:3" ht="15.75" customHeight="1">
      <c r="A433" s="61"/>
      <c r="C433" s="48"/>
    </row>
    <row r="434" spans="1:3" ht="15.75" customHeight="1">
      <c r="A434" s="61"/>
      <c r="C434" s="48"/>
    </row>
    <row r="435" spans="1:3" ht="15.75" customHeight="1">
      <c r="A435" s="61"/>
      <c r="C435" s="48"/>
    </row>
    <row r="436" spans="1:3" ht="15.75" customHeight="1">
      <c r="A436" s="61"/>
      <c r="C436" s="48"/>
    </row>
    <row r="437" spans="1:3" ht="15.75" customHeight="1">
      <c r="A437" s="61"/>
      <c r="C437" s="48"/>
    </row>
    <row r="438" spans="1:3" ht="15.75" customHeight="1">
      <c r="A438" s="61"/>
      <c r="C438" s="48"/>
    </row>
    <row r="439" spans="1:3" ht="15.75" customHeight="1">
      <c r="A439" s="61"/>
      <c r="C439" s="48"/>
    </row>
    <row r="440" spans="1:3" ht="15.75" customHeight="1">
      <c r="A440" s="61"/>
      <c r="C440" s="48"/>
    </row>
    <row r="441" spans="1:3" ht="15.75" customHeight="1">
      <c r="A441" s="61"/>
      <c r="C441" s="48"/>
    </row>
    <row r="442" spans="1:3" ht="15.75" customHeight="1">
      <c r="A442" s="61"/>
      <c r="C442" s="48"/>
    </row>
    <row r="443" spans="1:3" ht="15.75" customHeight="1">
      <c r="A443" s="61"/>
      <c r="C443" s="48"/>
    </row>
    <row r="444" spans="1:3" ht="15.75" customHeight="1">
      <c r="A444" s="61"/>
      <c r="C444" s="48"/>
    </row>
    <row r="445" spans="1:3" ht="15.75" customHeight="1">
      <c r="A445" s="61"/>
      <c r="C445" s="48"/>
    </row>
    <row r="446" spans="1:3" ht="15.75" customHeight="1">
      <c r="A446" s="61"/>
      <c r="C446" s="48"/>
    </row>
    <row r="447" spans="1:3" ht="15.75" customHeight="1">
      <c r="A447" s="61"/>
      <c r="C447" s="48"/>
    </row>
    <row r="448" spans="1:3" ht="15.75" customHeight="1">
      <c r="A448" s="61"/>
      <c r="C448" s="48"/>
    </row>
    <row r="449" spans="1:3" ht="15.75" customHeight="1">
      <c r="A449" s="61"/>
      <c r="C449" s="48"/>
    </row>
    <row r="450" spans="1:3" ht="15.75" customHeight="1">
      <c r="A450" s="61"/>
      <c r="C450" s="48"/>
    </row>
    <row r="451" spans="1:3" ht="15.75" customHeight="1">
      <c r="A451" s="61"/>
      <c r="C451" s="48"/>
    </row>
    <row r="452" spans="1:3" ht="15.75" customHeight="1">
      <c r="A452" s="61"/>
      <c r="C452" s="48"/>
    </row>
    <row r="453" spans="1:3" ht="15.75" customHeight="1">
      <c r="A453" s="61"/>
      <c r="C453" s="48"/>
    </row>
    <row r="454" spans="1:3" ht="15.75" customHeight="1">
      <c r="A454" s="61"/>
      <c r="C454" s="48"/>
    </row>
    <row r="455" spans="1:3" ht="15.75" customHeight="1">
      <c r="A455" s="61"/>
      <c r="C455" s="48"/>
    </row>
    <row r="456" spans="1:3" ht="15.75" customHeight="1">
      <c r="A456" s="61"/>
      <c r="C456" s="48"/>
    </row>
    <row r="457" spans="1:3" ht="15.75" customHeight="1">
      <c r="A457" s="61"/>
      <c r="C457" s="48"/>
    </row>
    <row r="458" spans="1:3" ht="15.75" customHeight="1">
      <c r="A458" s="61"/>
      <c r="C458" s="48"/>
    </row>
    <row r="459" spans="1:3" ht="15.75" customHeight="1">
      <c r="A459" s="61"/>
      <c r="C459" s="48"/>
    </row>
    <row r="460" spans="1:3" ht="15.75" customHeight="1">
      <c r="A460" s="61"/>
      <c r="C460" s="48"/>
    </row>
    <row r="461" spans="1:3" ht="15.75" customHeight="1">
      <c r="A461" s="61"/>
      <c r="C461" s="48"/>
    </row>
    <row r="462" spans="1:3" ht="15.75" customHeight="1">
      <c r="A462" s="61"/>
      <c r="C462" s="48"/>
    </row>
    <row r="463" spans="1:3" ht="15.75" customHeight="1">
      <c r="A463" s="61"/>
      <c r="C463" s="48"/>
    </row>
    <row r="464" spans="1:3" ht="15.75" customHeight="1">
      <c r="A464" s="61"/>
      <c r="C464" s="48"/>
    </row>
    <row r="465" spans="1:3" ht="15.75" customHeight="1">
      <c r="A465" s="61"/>
      <c r="C465" s="48"/>
    </row>
    <row r="466" spans="1:3" ht="15.75" customHeight="1">
      <c r="A466" s="61"/>
      <c r="C466" s="48"/>
    </row>
    <row r="467" spans="1:3" ht="15.75" customHeight="1">
      <c r="A467" s="61"/>
      <c r="C467" s="48"/>
    </row>
    <row r="468" spans="1:3" ht="15.75" customHeight="1">
      <c r="A468" s="61"/>
      <c r="C468" s="48"/>
    </row>
    <row r="469" spans="1:3" ht="15.75" customHeight="1">
      <c r="A469" s="61"/>
      <c r="C469" s="48"/>
    </row>
    <row r="470" spans="1:3" ht="15.75" customHeight="1">
      <c r="A470" s="61"/>
      <c r="C470" s="48"/>
    </row>
    <row r="471" spans="1:3" ht="15.75" customHeight="1">
      <c r="A471" s="61"/>
      <c r="C471" s="48"/>
    </row>
    <row r="472" spans="1:3" ht="15.75" customHeight="1">
      <c r="A472" s="61"/>
      <c r="C472" s="48"/>
    </row>
    <row r="473" spans="1:3" ht="15.75" customHeight="1">
      <c r="A473" s="61"/>
      <c r="C473" s="48"/>
    </row>
    <row r="474" spans="1:3" ht="15.75" customHeight="1">
      <c r="A474" s="61"/>
      <c r="C474" s="48"/>
    </row>
    <row r="475" spans="1:3" ht="15.75" customHeight="1">
      <c r="A475" s="61"/>
      <c r="C475" s="48"/>
    </row>
    <row r="476" spans="1:3" ht="15.75" customHeight="1">
      <c r="A476" s="61"/>
      <c r="C476" s="48"/>
    </row>
    <row r="477" spans="1:3" ht="15.75" customHeight="1">
      <c r="A477" s="61"/>
      <c r="C477" s="48"/>
    </row>
    <row r="478" spans="1:3" ht="15.75" customHeight="1">
      <c r="A478" s="61"/>
      <c r="C478" s="48"/>
    </row>
    <row r="479" spans="1:3" ht="15.75" customHeight="1">
      <c r="A479" s="61"/>
      <c r="C479" s="48"/>
    </row>
    <row r="480" spans="1:3" ht="15.75" customHeight="1">
      <c r="A480" s="61"/>
      <c r="C480" s="48"/>
    </row>
    <row r="481" spans="1:3" ht="15.75" customHeight="1">
      <c r="A481" s="61"/>
      <c r="C481" s="48"/>
    </row>
    <row r="482" spans="1:3" ht="15.75" customHeight="1">
      <c r="A482" s="61"/>
      <c r="C482" s="48"/>
    </row>
    <row r="483" spans="1:3" ht="15.75" customHeight="1">
      <c r="A483" s="61"/>
      <c r="C483" s="48"/>
    </row>
    <row r="484" spans="1:3" ht="15.75" customHeight="1">
      <c r="A484" s="61"/>
      <c r="C484" s="48"/>
    </row>
    <row r="485" spans="1:3" ht="15.75" customHeight="1">
      <c r="A485" s="61"/>
      <c r="C485" s="48"/>
    </row>
    <row r="486" spans="1:3" ht="15.75" customHeight="1">
      <c r="A486" s="61"/>
      <c r="C486" s="48"/>
    </row>
    <row r="487" spans="1:3" ht="15.75" customHeight="1">
      <c r="A487" s="61"/>
      <c r="C487" s="48"/>
    </row>
    <row r="488" spans="1:3" ht="15.75" customHeight="1">
      <c r="A488" s="61"/>
      <c r="C488" s="48"/>
    </row>
    <row r="489" spans="1:3" ht="15.75" customHeight="1">
      <c r="A489" s="61"/>
      <c r="C489" s="48"/>
    </row>
    <row r="490" spans="1:3" ht="15.75" customHeight="1">
      <c r="A490" s="61"/>
      <c r="C490" s="48"/>
    </row>
    <row r="491" spans="1:3" ht="15.75" customHeight="1">
      <c r="A491" s="61"/>
      <c r="C491" s="48"/>
    </row>
    <row r="492" spans="1:3" ht="15.75" customHeight="1">
      <c r="A492" s="61"/>
      <c r="C492" s="48"/>
    </row>
    <row r="493" spans="1:3" ht="15.75" customHeight="1">
      <c r="A493" s="61"/>
      <c r="C493" s="48"/>
    </row>
    <row r="494" spans="1:3" ht="15.75" customHeight="1">
      <c r="A494" s="61"/>
      <c r="C494" s="48"/>
    </row>
    <row r="495" spans="1:3" ht="15.75" customHeight="1">
      <c r="A495" s="61"/>
      <c r="C495" s="48"/>
    </row>
    <row r="496" spans="1:3" ht="15.75" customHeight="1">
      <c r="A496" s="61"/>
      <c r="C496" s="48"/>
    </row>
    <row r="497" spans="1:3" ht="15.75" customHeight="1">
      <c r="A497" s="61"/>
      <c r="C497" s="48"/>
    </row>
    <row r="498" spans="1:3" ht="15.75" customHeight="1">
      <c r="A498" s="61"/>
      <c r="C498" s="48"/>
    </row>
    <row r="499" spans="1:3" ht="15.75" customHeight="1">
      <c r="A499" s="61"/>
      <c r="C499" s="48"/>
    </row>
    <row r="500" spans="1:3" ht="15.75" customHeight="1">
      <c r="A500" s="61"/>
      <c r="C500" s="48"/>
    </row>
    <row r="501" spans="1:3" ht="15.75" customHeight="1">
      <c r="A501" s="61"/>
      <c r="C501" s="48"/>
    </row>
    <row r="502" spans="1:3" ht="15.75" customHeight="1">
      <c r="A502" s="61"/>
      <c r="C502" s="48"/>
    </row>
    <row r="503" spans="1:3" ht="15.75" customHeight="1">
      <c r="A503" s="61"/>
      <c r="C503" s="48"/>
    </row>
    <row r="504" spans="1:3" ht="15.75" customHeight="1">
      <c r="A504" s="61"/>
      <c r="C504" s="48"/>
    </row>
    <row r="505" spans="1:3" ht="15.75" customHeight="1">
      <c r="A505" s="61"/>
      <c r="C505" s="48"/>
    </row>
    <row r="506" spans="1:3" ht="15.75" customHeight="1">
      <c r="A506" s="61"/>
      <c r="C506" s="48"/>
    </row>
    <row r="507" spans="1:3" ht="15.75" customHeight="1">
      <c r="A507" s="61"/>
      <c r="C507" s="48"/>
    </row>
    <row r="508" spans="1:3" ht="15.75" customHeight="1">
      <c r="A508" s="61"/>
      <c r="C508" s="48"/>
    </row>
    <row r="509" spans="1:3" ht="15.75" customHeight="1">
      <c r="A509" s="61"/>
      <c r="C509" s="48"/>
    </row>
    <row r="510" spans="1:3" ht="15.75" customHeight="1">
      <c r="A510" s="61"/>
      <c r="C510" s="48"/>
    </row>
    <row r="511" spans="1:3" ht="15.75" customHeight="1">
      <c r="A511" s="61"/>
      <c r="C511" s="48"/>
    </row>
    <row r="512" spans="1:3" ht="15.75" customHeight="1">
      <c r="A512" s="61"/>
      <c r="C512" s="48"/>
    </row>
    <row r="513" spans="1:3" ht="15.75" customHeight="1">
      <c r="A513" s="61"/>
      <c r="C513" s="48"/>
    </row>
    <row r="514" spans="1:3" ht="15.75" customHeight="1">
      <c r="A514" s="61"/>
      <c r="C514" s="48"/>
    </row>
    <row r="515" spans="1:3" ht="15.75" customHeight="1">
      <c r="A515" s="61"/>
      <c r="C515" s="48"/>
    </row>
    <row r="516" spans="1:3" ht="15.75" customHeight="1">
      <c r="A516" s="61"/>
      <c r="C516" s="48"/>
    </row>
    <row r="517" spans="1:3" ht="15.75" customHeight="1">
      <c r="A517" s="61"/>
      <c r="C517" s="48"/>
    </row>
    <row r="518" spans="1:3" ht="15.75" customHeight="1">
      <c r="A518" s="61"/>
      <c r="C518" s="48"/>
    </row>
    <row r="519" spans="1:3" ht="15.75" customHeight="1">
      <c r="A519" s="61"/>
      <c r="C519" s="48"/>
    </row>
    <row r="520" spans="1:3" ht="15.75" customHeight="1">
      <c r="A520" s="61"/>
      <c r="C520" s="48"/>
    </row>
    <row r="521" spans="1:3" ht="15.75" customHeight="1">
      <c r="A521" s="61"/>
      <c r="C521" s="48"/>
    </row>
    <row r="522" spans="1:3" ht="15.75" customHeight="1">
      <c r="A522" s="61"/>
      <c r="C522" s="48"/>
    </row>
    <row r="523" spans="1:3" ht="15.75" customHeight="1">
      <c r="A523" s="61"/>
      <c r="C523" s="48"/>
    </row>
    <row r="524" spans="1:3" ht="15.75" customHeight="1">
      <c r="A524" s="61"/>
      <c r="C524" s="48"/>
    </row>
    <row r="525" spans="1:3" ht="15.75" customHeight="1">
      <c r="A525" s="61"/>
      <c r="C525" s="48"/>
    </row>
    <row r="526" spans="1:3" ht="15.75" customHeight="1">
      <c r="A526" s="61"/>
      <c r="C526" s="48"/>
    </row>
    <row r="527" spans="1:3" ht="15.75" customHeight="1">
      <c r="A527" s="61"/>
      <c r="C527" s="48"/>
    </row>
    <row r="528" spans="1:3" ht="15.75" customHeight="1">
      <c r="A528" s="61"/>
      <c r="C528" s="48"/>
    </row>
    <row r="529" spans="1:3" ht="15.75" customHeight="1">
      <c r="A529" s="61"/>
      <c r="C529" s="48"/>
    </row>
    <row r="530" spans="1:3" ht="15.75" customHeight="1">
      <c r="A530" s="61"/>
      <c r="C530" s="48"/>
    </row>
    <row r="531" spans="1:3" ht="15.75" customHeight="1">
      <c r="A531" s="61"/>
      <c r="C531" s="48"/>
    </row>
    <row r="532" spans="1:3" ht="15.75" customHeight="1">
      <c r="A532" s="61"/>
      <c r="C532" s="48"/>
    </row>
    <row r="533" spans="1:3" ht="15.75" customHeight="1">
      <c r="A533" s="61"/>
      <c r="C533" s="48"/>
    </row>
    <row r="534" spans="1:3" ht="15.75" customHeight="1">
      <c r="A534" s="61"/>
      <c r="C534" s="48"/>
    </row>
    <row r="535" spans="1:3" ht="15.75" customHeight="1">
      <c r="A535" s="61"/>
      <c r="C535" s="48"/>
    </row>
    <row r="536" spans="1:3" ht="15.75" customHeight="1">
      <c r="A536" s="61"/>
      <c r="C536" s="48"/>
    </row>
    <row r="537" spans="1:3" ht="15.75" customHeight="1">
      <c r="A537" s="61"/>
      <c r="C537" s="48"/>
    </row>
    <row r="538" spans="1:3" ht="15.75" customHeight="1">
      <c r="A538" s="61"/>
      <c r="C538" s="48"/>
    </row>
    <row r="539" spans="1:3" ht="15.75" customHeight="1">
      <c r="A539" s="61"/>
      <c r="C539" s="48"/>
    </row>
    <row r="540" spans="1:3" ht="15.75" customHeight="1">
      <c r="A540" s="61"/>
      <c r="C540" s="48"/>
    </row>
    <row r="541" spans="1:3" ht="15.75" customHeight="1">
      <c r="A541" s="61"/>
      <c r="C541" s="48"/>
    </row>
    <row r="542" spans="1:3" ht="15.75" customHeight="1">
      <c r="A542" s="61"/>
      <c r="C542" s="48"/>
    </row>
    <row r="543" spans="1:3" ht="15.75" customHeight="1">
      <c r="A543" s="61"/>
      <c r="C543" s="48"/>
    </row>
    <row r="544" spans="1:3" ht="15.75" customHeight="1">
      <c r="A544" s="61"/>
      <c r="C544" s="48"/>
    </row>
    <row r="545" spans="1:3" ht="15.75" customHeight="1">
      <c r="A545" s="61"/>
      <c r="C545" s="48"/>
    </row>
    <row r="546" spans="1:3" ht="15.75" customHeight="1">
      <c r="A546" s="61"/>
      <c r="C546" s="48"/>
    </row>
    <row r="547" spans="1:3" ht="15.75" customHeight="1">
      <c r="A547" s="61"/>
      <c r="C547" s="48"/>
    </row>
    <row r="548" spans="1:3" ht="15.75" customHeight="1">
      <c r="A548" s="61"/>
      <c r="C548" s="48"/>
    </row>
    <row r="549" spans="1:3" ht="15.75" customHeight="1">
      <c r="A549" s="61"/>
      <c r="C549" s="48"/>
    </row>
    <row r="550" spans="1:3" ht="15.75" customHeight="1">
      <c r="A550" s="61"/>
      <c r="C550" s="48"/>
    </row>
    <row r="551" spans="1:3" ht="15.75" customHeight="1">
      <c r="A551" s="61"/>
      <c r="C551" s="48"/>
    </row>
    <row r="552" spans="1:3" ht="15.75" customHeight="1">
      <c r="A552" s="61"/>
      <c r="C552" s="48"/>
    </row>
    <row r="553" spans="1:3" ht="15.75" customHeight="1">
      <c r="A553" s="61"/>
      <c r="C553" s="48"/>
    </row>
    <row r="554" spans="1:3" ht="15.75" customHeight="1">
      <c r="A554" s="61"/>
      <c r="C554" s="48"/>
    </row>
    <row r="555" spans="1:3" ht="15.75" customHeight="1">
      <c r="A555" s="61"/>
      <c r="C555" s="48"/>
    </row>
    <row r="556" spans="1:3" ht="15.75" customHeight="1">
      <c r="A556" s="61"/>
      <c r="C556" s="48"/>
    </row>
    <row r="557" spans="1:3" ht="15.75" customHeight="1">
      <c r="A557" s="61"/>
      <c r="C557" s="48"/>
    </row>
    <row r="558" spans="1:3" ht="15.75" customHeight="1">
      <c r="A558" s="61"/>
      <c r="C558" s="48"/>
    </row>
    <row r="559" spans="1:3" ht="15.75" customHeight="1">
      <c r="A559" s="61"/>
      <c r="C559" s="48"/>
    </row>
    <row r="560" spans="1:3" ht="15.75" customHeight="1">
      <c r="A560" s="61"/>
      <c r="C560" s="48"/>
    </row>
    <row r="561" spans="1:3" ht="15.75" customHeight="1">
      <c r="A561" s="61"/>
      <c r="C561" s="48"/>
    </row>
    <row r="562" spans="1:3" ht="15.75" customHeight="1">
      <c r="A562" s="61"/>
      <c r="C562" s="48"/>
    </row>
    <row r="563" spans="1:3" ht="15.75" customHeight="1">
      <c r="A563" s="61"/>
      <c r="C563" s="48"/>
    </row>
    <row r="564" spans="1:3" ht="15.75" customHeight="1">
      <c r="A564" s="61"/>
      <c r="C564" s="48"/>
    </row>
    <row r="565" spans="1:3" ht="15.75" customHeight="1">
      <c r="A565" s="61"/>
      <c r="C565" s="48"/>
    </row>
    <row r="566" spans="1:3" ht="15.75" customHeight="1">
      <c r="A566" s="61"/>
      <c r="C566" s="48"/>
    </row>
    <row r="567" spans="1:3" ht="15.75" customHeight="1">
      <c r="A567" s="61"/>
      <c r="C567" s="48"/>
    </row>
    <row r="568" spans="1:3" ht="15.75" customHeight="1">
      <c r="A568" s="61"/>
      <c r="C568" s="48"/>
    </row>
    <row r="569" spans="1:3" ht="15.75" customHeight="1">
      <c r="A569" s="61"/>
      <c r="C569" s="48"/>
    </row>
    <row r="570" spans="1:3" ht="15.75" customHeight="1">
      <c r="A570" s="61"/>
      <c r="C570" s="48"/>
    </row>
    <row r="571" spans="1:3" ht="15.75" customHeight="1">
      <c r="A571" s="61"/>
      <c r="C571" s="48"/>
    </row>
    <row r="572" spans="1:3" ht="15.75" customHeight="1">
      <c r="A572" s="61"/>
      <c r="C572" s="48"/>
    </row>
    <row r="573" spans="1:3" ht="15.75" customHeight="1">
      <c r="A573" s="61"/>
      <c r="C573" s="48"/>
    </row>
    <row r="574" spans="1:3" ht="15.75" customHeight="1">
      <c r="A574" s="61"/>
      <c r="C574" s="48"/>
    </row>
    <row r="575" spans="1:3" ht="15.75" customHeight="1">
      <c r="A575" s="61"/>
      <c r="C575" s="48"/>
    </row>
    <row r="576" spans="1:3" ht="15.75" customHeight="1">
      <c r="A576" s="61"/>
      <c r="C576" s="48"/>
    </row>
    <row r="577" spans="1:3" ht="15.75" customHeight="1">
      <c r="A577" s="61"/>
      <c r="C577" s="48"/>
    </row>
    <row r="578" spans="1:3" ht="15.75" customHeight="1">
      <c r="A578" s="61"/>
      <c r="C578" s="48"/>
    </row>
    <row r="579" spans="1:3" ht="15.75" customHeight="1">
      <c r="A579" s="61"/>
      <c r="C579" s="48"/>
    </row>
    <row r="580" spans="1:3" ht="15.75" customHeight="1">
      <c r="A580" s="61"/>
      <c r="C580" s="48"/>
    </row>
    <row r="581" spans="1:3" ht="15.75" customHeight="1">
      <c r="A581" s="61"/>
      <c r="C581" s="48"/>
    </row>
    <row r="582" spans="1:3" ht="15.75" customHeight="1">
      <c r="A582" s="61"/>
      <c r="C582" s="48"/>
    </row>
    <row r="583" spans="1:3" ht="15.75" customHeight="1">
      <c r="A583" s="61"/>
      <c r="C583" s="48"/>
    </row>
    <row r="584" spans="1:3" ht="15.75" customHeight="1">
      <c r="A584" s="61"/>
      <c r="C584" s="48"/>
    </row>
    <row r="585" spans="1:3" ht="15.75" customHeight="1">
      <c r="A585" s="61"/>
      <c r="C585" s="48"/>
    </row>
    <row r="586" spans="1:3" ht="15.75" customHeight="1">
      <c r="A586" s="61"/>
      <c r="C586" s="48"/>
    </row>
    <row r="587" spans="1:3" ht="15.75" customHeight="1">
      <c r="A587" s="61"/>
      <c r="C587" s="48"/>
    </row>
    <row r="588" spans="1:3" ht="15.75" customHeight="1">
      <c r="A588" s="61"/>
      <c r="C588" s="48"/>
    </row>
    <row r="589" spans="1:3" ht="15.75" customHeight="1">
      <c r="A589" s="61"/>
      <c r="C589" s="48"/>
    </row>
    <row r="590" spans="1:3" ht="15.75" customHeight="1">
      <c r="A590" s="61"/>
      <c r="C590" s="48"/>
    </row>
    <row r="591" spans="1:3" ht="15.75" customHeight="1">
      <c r="A591" s="61"/>
      <c r="C591" s="48"/>
    </row>
    <row r="592" spans="1:3" ht="15.75" customHeight="1">
      <c r="A592" s="61"/>
      <c r="C592" s="48"/>
    </row>
    <row r="593" spans="1:3" ht="15.75" customHeight="1">
      <c r="A593" s="61"/>
      <c r="C593" s="48"/>
    </row>
    <row r="594" spans="1:3" ht="15.75" customHeight="1">
      <c r="A594" s="61"/>
      <c r="C594" s="48"/>
    </row>
    <row r="595" spans="1:3" ht="15.75" customHeight="1">
      <c r="A595" s="61"/>
      <c r="C595" s="48"/>
    </row>
    <row r="596" spans="1:3" ht="15.75" customHeight="1">
      <c r="A596" s="61"/>
      <c r="C596" s="48"/>
    </row>
    <row r="597" spans="1:3" ht="15.75" customHeight="1">
      <c r="A597" s="61"/>
      <c r="C597" s="48"/>
    </row>
    <row r="598" spans="1:3" ht="15.75" customHeight="1">
      <c r="A598" s="61"/>
      <c r="C598" s="48"/>
    </row>
    <row r="599" spans="1:3" ht="15.75" customHeight="1">
      <c r="A599" s="61"/>
      <c r="C599" s="48"/>
    </row>
    <row r="600" spans="1:3" ht="15.75" customHeight="1">
      <c r="A600" s="61"/>
      <c r="C600" s="48"/>
    </row>
    <row r="601" spans="1:3" ht="15.75" customHeight="1">
      <c r="A601" s="61"/>
      <c r="C601" s="48"/>
    </row>
    <row r="602" spans="1:3" ht="15.75" customHeight="1">
      <c r="A602" s="61"/>
      <c r="C602" s="48"/>
    </row>
    <row r="603" spans="1:3" ht="15.75" customHeight="1">
      <c r="A603" s="61"/>
      <c r="C603" s="48"/>
    </row>
    <row r="604" spans="1:3" ht="15.75" customHeight="1">
      <c r="A604" s="61"/>
      <c r="C604" s="48"/>
    </row>
    <row r="605" spans="1:3" ht="15.75" customHeight="1">
      <c r="A605" s="61"/>
      <c r="C605" s="48"/>
    </row>
    <row r="606" spans="1:3" ht="15.75" customHeight="1">
      <c r="A606" s="61"/>
      <c r="C606" s="48"/>
    </row>
    <row r="607" spans="1:3" ht="15.75" customHeight="1">
      <c r="A607" s="61"/>
      <c r="C607" s="48"/>
    </row>
    <row r="608" spans="1:3" ht="15.75" customHeight="1">
      <c r="A608" s="61"/>
      <c r="C608" s="48"/>
    </row>
    <row r="609" spans="1:3" ht="15.75" customHeight="1">
      <c r="A609" s="61"/>
      <c r="C609" s="48"/>
    </row>
    <row r="610" spans="1:3" ht="15.75" customHeight="1">
      <c r="A610" s="61"/>
      <c r="C610" s="48"/>
    </row>
    <row r="611" spans="1:3" ht="15.75" customHeight="1">
      <c r="A611" s="61"/>
      <c r="C611" s="48"/>
    </row>
    <row r="612" spans="1:3" ht="15.75" customHeight="1">
      <c r="A612" s="61"/>
      <c r="C612" s="48"/>
    </row>
    <row r="613" spans="1:3" ht="15.75" customHeight="1">
      <c r="A613" s="61"/>
      <c r="C613" s="48"/>
    </row>
    <row r="614" spans="1:3" ht="15.75" customHeight="1">
      <c r="A614" s="61"/>
      <c r="C614" s="48"/>
    </row>
    <row r="615" spans="1:3" ht="15.75" customHeight="1">
      <c r="A615" s="61"/>
      <c r="C615" s="48"/>
    </row>
    <row r="616" spans="1:3" ht="15.75" customHeight="1">
      <c r="A616" s="61"/>
      <c r="C616" s="48"/>
    </row>
    <row r="617" spans="1:3" ht="15.75" customHeight="1">
      <c r="A617" s="61"/>
      <c r="C617" s="48"/>
    </row>
    <row r="618" spans="1:3" ht="15.75" customHeight="1">
      <c r="A618" s="61"/>
      <c r="C618" s="48"/>
    </row>
    <row r="619" spans="1:3" ht="15.75" customHeight="1">
      <c r="A619" s="61"/>
      <c r="C619" s="48"/>
    </row>
    <row r="620" spans="1:3" ht="15.75" customHeight="1">
      <c r="A620" s="61"/>
      <c r="C620" s="48"/>
    </row>
    <row r="621" spans="1:3" ht="15.75" customHeight="1">
      <c r="A621" s="61"/>
      <c r="C621" s="48"/>
    </row>
    <row r="622" spans="1:3" ht="15.75" customHeight="1">
      <c r="A622" s="61"/>
      <c r="C622" s="48"/>
    </row>
    <row r="623" spans="1:3" ht="15.75" customHeight="1">
      <c r="A623" s="61"/>
      <c r="C623" s="48"/>
    </row>
    <row r="624" spans="1:3" ht="15.75" customHeight="1">
      <c r="A624" s="61"/>
      <c r="C624" s="48"/>
    </row>
    <row r="625" spans="1:3" ht="15.75" customHeight="1">
      <c r="A625" s="61"/>
      <c r="C625" s="48"/>
    </row>
    <row r="626" spans="1:3" ht="15.75" customHeight="1">
      <c r="A626" s="61"/>
      <c r="C626" s="48"/>
    </row>
    <row r="627" spans="1:3" ht="15.75" customHeight="1">
      <c r="A627" s="61"/>
      <c r="C627" s="48"/>
    </row>
    <row r="628" spans="1:3" ht="15.75" customHeight="1">
      <c r="A628" s="61"/>
      <c r="C628" s="48"/>
    </row>
    <row r="629" spans="1:3" ht="15.75" customHeight="1">
      <c r="A629" s="61"/>
      <c r="C629" s="48"/>
    </row>
    <row r="630" spans="1:3" ht="15.75" customHeight="1">
      <c r="A630" s="61"/>
      <c r="C630" s="48"/>
    </row>
    <row r="631" spans="1:3" ht="15.75" customHeight="1">
      <c r="A631" s="61"/>
      <c r="C631" s="48"/>
    </row>
    <row r="632" spans="1:3" ht="15.75" customHeight="1">
      <c r="A632" s="61"/>
      <c r="C632" s="48"/>
    </row>
    <row r="633" spans="1:3" ht="15.75" customHeight="1">
      <c r="A633" s="61"/>
      <c r="C633" s="48"/>
    </row>
    <row r="634" spans="1:3" ht="15.75" customHeight="1">
      <c r="A634" s="61"/>
      <c r="C634" s="48"/>
    </row>
    <row r="635" spans="1:3" ht="15.75" customHeight="1">
      <c r="A635" s="61"/>
      <c r="C635" s="48"/>
    </row>
    <row r="636" spans="1:3" ht="15.75" customHeight="1">
      <c r="A636" s="61"/>
      <c r="C636" s="48"/>
    </row>
    <row r="637" spans="1:3" ht="15.75" customHeight="1">
      <c r="A637" s="61"/>
      <c r="C637" s="48"/>
    </row>
    <row r="638" spans="1:3" ht="15.75" customHeight="1">
      <c r="A638" s="61"/>
      <c r="C638" s="48"/>
    </row>
    <row r="639" spans="1:3" ht="15.75" customHeight="1">
      <c r="A639" s="61"/>
      <c r="C639" s="48"/>
    </row>
    <row r="640" spans="1:3" ht="15.75" customHeight="1">
      <c r="A640" s="61"/>
      <c r="C640" s="48"/>
    </row>
    <row r="641" spans="1:3" ht="15.75" customHeight="1">
      <c r="A641" s="61"/>
      <c r="C641" s="48"/>
    </row>
    <row r="642" spans="1:3" ht="15.75" customHeight="1">
      <c r="A642" s="61"/>
      <c r="C642" s="48"/>
    </row>
    <row r="643" spans="1:3" ht="15.75" customHeight="1">
      <c r="A643" s="61"/>
      <c r="C643" s="48"/>
    </row>
    <row r="644" spans="1:3" ht="15.75" customHeight="1">
      <c r="A644" s="61"/>
      <c r="C644" s="48"/>
    </row>
    <row r="645" spans="1:3" ht="15.75" customHeight="1">
      <c r="A645" s="61"/>
      <c r="C645" s="48"/>
    </row>
    <row r="646" spans="1:3" ht="15.75" customHeight="1">
      <c r="A646" s="61"/>
      <c r="C646" s="48"/>
    </row>
    <row r="647" spans="1:3" ht="15.75" customHeight="1">
      <c r="A647" s="61"/>
      <c r="C647" s="48"/>
    </row>
    <row r="648" spans="1:3" ht="15.75" customHeight="1">
      <c r="A648" s="61"/>
      <c r="C648" s="48"/>
    </row>
    <row r="649" spans="1:3" ht="15.75" customHeight="1">
      <c r="A649" s="61"/>
      <c r="C649" s="48"/>
    </row>
    <row r="650" spans="1:3" ht="15.75" customHeight="1">
      <c r="A650" s="61"/>
      <c r="C650" s="48"/>
    </row>
    <row r="651" spans="1:3" ht="15.75" customHeight="1">
      <c r="A651" s="61"/>
      <c r="C651" s="48"/>
    </row>
    <row r="652" spans="1:3" ht="15.75" customHeight="1">
      <c r="A652" s="61"/>
      <c r="C652" s="48"/>
    </row>
    <row r="653" spans="1:3" ht="15.75" customHeight="1">
      <c r="A653" s="61"/>
      <c r="C653" s="48"/>
    </row>
    <row r="654" spans="1:3" ht="15.75" customHeight="1">
      <c r="A654" s="61"/>
      <c r="C654" s="48"/>
    </row>
    <row r="655" spans="1:3" ht="15.75" customHeight="1">
      <c r="A655" s="61"/>
      <c r="C655" s="48"/>
    </row>
    <row r="656" spans="1:3" ht="15.75" customHeight="1">
      <c r="A656" s="61"/>
      <c r="C656" s="48"/>
    </row>
    <row r="657" spans="1:3" ht="15.75" customHeight="1">
      <c r="A657" s="61"/>
      <c r="C657" s="48"/>
    </row>
    <row r="658" spans="1:3" ht="15.75" customHeight="1">
      <c r="A658" s="61"/>
      <c r="C658" s="48"/>
    </row>
    <row r="659" spans="1:3" ht="15.75" customHeight="1">
      <c r="A659" s="61"/>
      <c r="C659" s="48"/>
    </row>
    <row r="660" spans="1:3" ht="15.75" customHeight="1">
      <c r="A660" s="61"/>
      <c r="C660" s="48"/>
    </row>
    <row r="661" spans="1:3" ht="15.75" customHeight="1">
      <c r="A661" s="61"/>
      <c r="C661" s="48"/>
    </row>
    <row r="662" spans="1:3" ht="15.75" customHeight="1">
      <c r="A662" s="61"/>
      <c r="C662" s="48"/>
    </row>
    <row r="663" spans="1:3" ht="15.75" customHeight="1">
      <c r="A663" s="61"/>
      <c r="C663" s="48"/>
    </row>
    <row r="664" spans="1:3" ht="15.75" customHeight="1">
      <c r="A664" s="61"/>
      <c r="C664" s="48"/>
    </row>
    <row r="665" spans="1:3" ht="15.75" customHeight="1">
      <c r="A665" s="61"/>
      <c r="C665" s="48"/>
    </row>
    <row r="666" spans="1:3" ht="15.75" customHeight="1">
      <c r="A666" s="61"/>
      <c r="C666" s="48"/>
    </row>
    <row r="667" spans="1:3" ht="15.75" customHeight="1">
      <c r="A667" s="61"/>
      <c r="C667" s="48"/>
    </row>
    <row r="668" spans="1:3" ht="15.75" customHeight="1">
      <c r="A668" s="61"/>
      <c r="C668" s="48"/>
    </row>
    <row r="669" spans="1:3" ht="15.75" customHeight="1">
      <c r="A669" s="61"/>
      <c r="C669" s="48"/>
    </row>
    <row r="670" spans="1:3" ht="15.75" customHeight="1">
      <c r="A670" s="61"/>
      <c r="C670" s="48"/>
    </row>
    <row r="671" spans="1:3" ht="15.75" customHeight="1">
      <c r="A671" s="61"/>
      <c r="C671" s="48"/>
    </row>
    <row r="672" spans="1:3" ht="15.75" customHeight="1">
      <c r="A672" s="61"/>
      <c r="C672" s="48"/>
    </row>
    <row r="673" spans="1:3" ht="15.75" customHeight="1">
      <c r="A673" s="61"/>
      <c r="C673" s="48"/>
    </row>
    <row r="674" spans="1:3" ht="15.75" customHeight="1">
      <c r="A674" s="61"/>
      <c r="C674" s="48"/>
    </row>
    <row r="675" spans="1:3" ht="15.75" customHeight="1">
      <c r="A675" s="61"/>
      <c r="C675" s="48"/>
    </row>
    <row r="676" spans="1:3" ht="15.75" customHeight="1">
      <c r="A676" s="61"/>
      <c r="C676" s="48"/>
    </row>
    <row r="677" spans="1:3" ht="15.75" customHeight="1">
      <c r="A677" s="61"/>
      <c r="C677" s="48"/>
    </row>
    <row r="678" spans="1:3" ht="15.75" customHeight="1">
      <c r="A678" s="61"/>
      <c r="C678" s="48"/>
    </row>
    <row r="679" spans="1:3" ht="15.75" customHeight="1">
      <c r="A679" s="61"/>
      <c r="C679" s="48"/>
    </row>
    <row r="680" spans="1:3" ht="15.75" customHeight="1">
      <c r="A680" s="61"/>
      <c r="C680" s="48"/>
    </row>
    <row r="681" spans="1:3" ht="15.75" customHeight="1">
      <c r="A681" s="61"/>
      <c r="C681" s="48"/>
    </row>
    <row r="682" spans="1:3" ht="15.75" customHeight="1">
      <c r="A682" s="61"/>
      <c r="C682" s="48"/>
    </row>
    <row r="683" spans="1:3" ht="15.75" customHeight="1">
      <c r="A683" s="61"/>
      <c r="C683" s="48"/>
    </row>
    <row r="684" spans="1:3" ht="15.75" customHeight="1">
      <c r="A684" s="61"/>
      <c r="C684" s="48"/>
    </row>
    <row r="685" spans="1:3" ht="15.75" customHeight="1">
      <c r="A685" s="61"/>
      <c r="C685" s="48"/>
    </row>
    <row r="686" spans="1:3" ht="15.75" customHeight="1">
      <c r="A686" s="61"/>
      <c r="C686" s="48"/>
    </row>
    <row r="687" spans="1:3" ht="15.75" customHeight="1">
      <c r="A687" s="61"/>
      <c r="C687" s="48"/>
    </row>
    <row r="688" spans="1:3" ht="15.75" customHeight="1">
      <c r="A688" s="61"/>
      <c r="C688" s="48"/>
    </row>
    <row r="689" spans="1:3" ht="15.75" customHeight="1">
      <c r="A689" s="61"/>
      <c r="C689" s="48"/>
    </row>
    <row r="690" spans="1:3" ht="15.75" customHeight="1">
      <c r="A690" s="61"/>
      <c r="C690" s="48"/>
    </row>
    <row r="691" spans="1:3" ht="15.75" customHeight="1">
      <c r="A691" s="61"/>
      <c r="C691" s="48"/>
    </row>
    <row r="692" spans="1:3" ht="15.75" customHeight="1">
      <c r="A692" s="61"/>
      <c r="C692" s="48"/>
    </row>
    <row r="693" spans="1:3" ht="15.75" customHeight="1">
      <c r="A693" s="61"/>
      <c r="C693" s="48"/>
    </row>
    <row r="694" spans="1:3" ht="15.75" customHeight="1">
      <c r="A694" s="61"/>
      <c r="C694" s="48"/>
    </row>
    <row r="695" spans="1:3" ht="15.75" customHeight="1">
      <c r="A695" s="61"/>
      <c r="C695" s="48"/>
    </row>
    <row r="696" spans="1:3" ht="15.75" customHeight="1">
      <c r="A696" s="61"/>
      <c r="C696" s="48"/>
    </row>
    <row r="697" spans="1:3" ht="15.75" customHeight="1">
      <c r="A697" s="61"/>
      <c r="C697" s="48"/>
    </row>
    <row r="698" spans="1:3" ht="15.75" customHeight="1">
      <c r="A698" s="61"/>
      <c r="C698" s="48"/>
    </row>
    <row r="699" spans="1:3" ht="15.75" customHeight="1">
      <c r="A699" s="61"/>
      <c r="C699" s="48"/>
    </row>
    <row r="700" spans="1:3" ht="15.75" customHeight="1">
      <c r="A700" s="61"/>
      <c r="C700" s="48"/>
    </row>
    <row r="701" spans="1:3" ht="15.75" customHeight="1">
      <c r="A701" s="61"/>
      <c r="C701" s="48"/>
    </row>
    <row r="702" spans="1:3" ht="15.75" customHeight="1">
      <c r="A702" s="61"/>
      <c r="C702" s="48"/>
    </row>
    <row r="703" spans="1:3" ht="15.75" customHeight="1">
      <c r="A703" s="61"/>
      <c r="C703" s="48"/>
    </row>
    <row r="704" spans="1:3" ht="15.75" customHeight="1">
      <c r="A704" s="61"/>
      <c r="C704" s="48"/>
    </row>
    <row r="705" spans="1:3" ht="15.75" customHeight="1">
      <c r="A705" s="61"/>
      <c r="C705" s="48"/>
    </row>
    <row r="706" spans="1:3" ht="15.75" customHeight="1">
      <c r="A706" s="61"/>
      <c r="C706" s="48"/>
    </row>
    <row r="707" spans="1:3" ht="15.75" customHeight="1">
      <c r="A707" s="61"/>
      <c r="C707" s="48"/>
    </row>
    <row r="708" spans="1:3" ht="15.75" customHeight="1">
      <c r="A708" s="61"/>
      <c r="C708" s="48"/>
    </row>
    <row r="709" spans="1:3" ht="15.75" customHeight="1">
      <c r="A709" s="61"/>
      <c r="C709" s="48"/>
    </row>
    <row r="710" spans="1:3" ht="15.75" customHeight="1">
      <c r="A710" s="61"/>
      <c r="C710" s="48"/>
    </row>
    <row r="711" spans="1:3" ht="15.75" customHeight="1">
      <c r="A711" s="61"/>
      <c r="C711" s="48"/>
    </row>
    <row r="712" spans="1:3" ht="15.75" customHeight="1">
      <c r="A712" s="61"/>
      <c r="C712" s="48"/>
    </row>
    <row r="713" spans="1:3" ht="15.75" customHeight="1">
      <c r="A713" s="61"/>
      <c r="C713" s="48"/>
    </row>
    <row r="714" spans="1:3" ht="15.75" customHeight="1">
      <c r="A714" s="61"/>
      <c r="C714" s="48"/>
    </row>
    <row r="715" spans="1:3" ht="15.75" customHeight="1">
      <c r="A715" s="61"/>
      <c r="C715" s="48"/>
    </row>
    <row r="716" spans="1:3" ht="15.75" customHeight="1">
      <c r="A716" s="61"/>
      <c r="C716" s="48"/>
    </row>
    <row r="717" spans="1:3" ht="15.75" customHeight="1">
      <c r="A717" s="61"/>
      <c r="C717" s="48"/>
    </row>
    <row r="718" spans="1:3" ht="15.75" customHeight="1">
      <c r="A718" s="61"/>
      <c r="C718" s="48"/>
    </row>
    <row r="719" spans="1:3" ht="15.75" customHeight="1">
      <c r="A719" s="61"/>
      <c r="C719" s="48"/>
    </row>
    <row r="720" spans="1:3" ht="15.75" customHeight="1">
      <c r="A720" s="61"/>
      <c r="C720" s="48"/>
    </row>
    <row r="721" spans="1:3" ht="15.75" customHeight="1">
      <c r="A721" s="61"/>
      <c r="C721" s="48"/>
    </row>
    <row r="722" spans="1:3" ht="15.75" customHeight="1">
      <c r="A722" s="61"/>
      <c r="C722" s="48"/>
    </row>
    <row r="723" spans="1:3" ht="15.75" customHeight="1">
      <c r="A723" s="61"/>
      <c r="C723" s="48"/>
    </row>
    <row r="724" spans="1:3" ht="15.75" customHeight="1">
      <c r="A724" s="61"/>
      <c r="C724" s="48"/>
    </row>
    <row r="725" spans="1:3" ht="15.75" customHeight="1">
      <c r="A725" s="61"/>
      <c r="C725" s="48"/>
    </row>
    <row r="726" spans="1:3" ht="15.75" customHeight="1">
      <c r="A726" s="61"/>
      <c r="C726" s="48"/>
    </row>
    <row r="727" spans="1:3" ht="15.75" customHeight="1">
      <c r="A727" s="61"/>
      <c r="C727" s="48"/>
    </row>
    <row r="728" spans="1:3" ht="15.75" customHeight="1">
      <c r="A728" s="61"/>
      <c r="C728" s="48"/>
    </row>
    <row r="729" spans="1:3" ht="15.75" customHeight="1">
      <c r="A729" s="61"/>
      <c r="C729" s="48"/>
    </row>
    <row r="730" spans="1:3" ht="15.75" customHeight="1">
      <c r="A730" s="61"/>
      <c r="C730" s="48"/>
    </row>
    <row r="731" spans="1:3" ht="15.75" customHeight="1">
      <c r="A731" s="61"/>
      <c r="C731" s="48"/>
    </row>
    <row r="732" spans="1:3" ht="15.75" customHeight="1">
      <c r="A732" s="61"/>
      <c r="C732" s="48"/>
    </row>
    <row r="733" spans="1:3" ht="15.75" customHeight="1">
      <c r="A733" s="61"/>
      <c r="C733" s="48"/>
    </row>
    <row r="734" spans="1:3" ht="15.75" customHeight="1">
      <c r="A734" s="61"/>
      <c r="C734" s="48"/>
    </row>
    <row r="735" spans="1:3" ht="15.75" customHeight="1">
      <c r="A735" s="61"/>
      <c r="C735" s="48"/>
    </row>
    <row r="736" spans="1:3" ht="15.75" customHeight="1">
      <c r="A736" s="61"/>
      <c r="C736" s="48"/>
    </row>
    <row r="737" spans="1:3" ht="15.75" customHeight="1">
      <c r="A737" s="61"/>
      <c r="C737" s="48"/>
    </row>
    <row r="738" spans="1:3" ht="15.75" customHeight="1">
      <c r="A738" s="61"/>
      <c r="C738" s="48"/>
    </row>
    <row r="739" spans="1:3" ht="15.75" customHeight="1">
      <c r="A739" s="61"/>
      <c r="C739" s="48"/>
    </row>
    <row r="740" spans="1:3" ht="15.75" customHeight="1">
      <c r="A740" s="61"/>
      <c r="C740" s="48"/>
    </row>
    <row r="741" spans="1:3" ht="15.75" customHeight="1">
      <c r="A741" s="61"/>
      <c r="C741" s="48"/>
    </row>
    <row r="742" spans="1:3" ht="15.75" customHeight="1">
      <c r="A742" s="61"/>
      <c r="C742" s="48"/>
    </row>
    <row r="743" spans="1:3" ht="15.75" customHeight="1">
      <c r="A743" s="61"/>
      <c r="C743" s="48"/>
    </row>
    <row r="744" spans="1:3" ht="15.75" customHeight="1">
      <c r="A744" s="61"/>
      <c r="C744" s="48"/>
    </row>
    <row r="745" spans="1:3" ht="15.75" customHeight="1">
      <c r="A745" s="61"/>
      <c r="C745" s="48"/>
    </row>
    <row r="746" spans="1:3" ht="15.75" customHeight="1">
      <c r="A746" s="61"/>
      <c r="C746" s="48"/>
    </row>
    <row r="747" spans="1:3" ht="15.75" customHeight="1">
      <c r="A747" s="61"/>
      <c r="C747" s="48"/>
    </row>
    <row r="748" spans="1:3" ht="15.75" customHeight="1">
      <c r="A748" s="61"/>
      <c r="C748" s="48"/>
    </row>
    <row r="749" spans="1:3" ht="15.75" customHeight="1">
      <c r="A749" s="61"/>
      <c r="C749" s="48"/>
    </row>
    <row r="750" spans="1:3" ht="15.75" customHeight="1">
      <c r="A750" s="61"/>
      <c r="C750" s="48"/>
    </row>
    <row r="751" spans="1:3" ht="15.75" customHeight="1">
      <c r="A751" s="61"/>
      <c r="C751" s="48"/>
    </row>
    <row r="752" spans="1:3" ht="15.75" customHeight="1">
      <c r="A752" s="61"/>
      <c r="C752" s="48"/>
    </row>
    <row r="753" spans="1:3" ht="15.75" customHeight="1">
      <c r="A753" s="61"/>
      <c r="C753" s="48"/>
    </row>
    <row r="754" spans="1:3" ht="15.75" customHeight="1">
      <c r="A754" s="61"/>
      <c r="C754" s="48"/>
    </row>
    <row r="755" spans="1:3" ht="15.75" customHeight="1">
      <c r="A755" s="61"/>
      <c r="C755" s="48"/>
    </row>
    <row r="756" spans="1:3" ht="15.75" customHeight="1">
      <c r="A756" s="61"/>
      <c r="C756" s="48"/>
    </row>
    <row r="757" spans="1:3" ht="15.75" customHeight="1">
      <c r="A757" s="61"/>
      <c r="C757" s="48"/>
    </row>
    <row r="758" spans="1:3" ht="15.75" customHeight="1">
      <c r="A758" s="61"/>
      <c r="C758" s="48"/>
    </row>
    <row r="759" spans="1:3" ht="15.75" customHeight="1">
      <c r="A759" s="61"/>
      <c r="C759" s="48"/>
    </row>
    <row r="760" spans="1:3" ht="15.75" customHeight="1">
      <c r="A760" s="61"/>
      <c r="C760" s="48"/>
    </row>
    <row r="761" spans="1:3" ht="15.75" customHeight="1">
      <c r="A761" s="61"/>
      <c r="C761" s="48"/>
    </row>
    <row r="762" spans="1:3" ht="15.75" customHeight="1">
      <c r="A762" s="61"/>
      <c r="C762" s="48"/>
    </row>
    <row r="763" spans="1:3" ht="15.75" customHeight="1">
      <c r="A763" s="61"/>
      <c r="C763" s="48"/>
    </row>
    <row r="764" spans="1:3" ht="15.75" customHeight="1">
      <c r="A764" s="61"/>
      <c r="C764" s="48"/>
    </row>
    <row r="765" spans="1:3" ht="15.75" customHeight="1">
      <c r="A765" s="61"/>
      <c r="C765" s="48"/>
    </row>
    <row r="766" spans="1:3" ht="15.75" customHeight="1">
      <c r="A766" s="61"/>
      <c r="C766" s="48"/>
    </row>
    <row r="767" spans="1:3" ht="15.75" customHeight="1">
      <c r="A767" s="61"/>
      <c r="C767" s="48"/>
    </row>
    <row r="768" spans="1:3" ht="15.75" customHeight="1">
      <c r="A768" s="61"/>
      <c r="C768" s="48"/>
    </row>
    <row r="769" spans="1:3" ht="15.75" customHeight="1">
      <c r="A769" s="61"/>
      <c r="C769" s="48"/>
    </row>
    <row r="770" spans="1:3" ht="15.75" customHeight="1">
      <c r="A770" s="61"/>
      <c r="C770" s="48"/>
    </row>
    <row r="771" spans="1:3" ht="15.75" customHeight="1">
      <c r="A771" s="61"/>
      <c r="C771" s="48"/>
    </row>
    <row r="772" spans="1:3" ht="15.75" customHeight="1">
      <c r="A772" s="61"/>
      <c r="C772" s="48"/>
    </row>
    <row r="773" spans="1:3" ht="15.75" customHeight="1">
      <c r="A773" s="61"/>
      <c r="C773" s="48"/>
    </row>
    <row r="774" spans="1:3" ht="15.75" customHeight="1">
      <c r="A774" s="61"/>
      <c r="C774" s="48"/>
    </row>
    <row r="775" spans="1:3" ht="15.75" customHeight="1">
      <c r="A775" s="61"/>
      <c r="C775" s="48"/>
    </row>
    <row r="776" spans="1:3" ht="15.75" customHeight="1">
      <c r="A776" s="61"/>
      <c r="C776" s="48"/>
    </row>
    <row r="777" spans="1:3" ht="15.75" customHeight="1">
      <c r="A777" s="61"/>
      <c r="C777" s="48"/>
    </row>
    <row r="778" spans="1:3" ht="15.75" customHeight="1">
      <c r="A778" s="61"/>
      <c r="C778" s="48"/>
    </row>
    <row r="779" spans="1:3" ht="15.75" customHeight="1">
      <c r="A779" s="61"/>
      <c r="C779" s="48"/>
    </row>
    <row r="780" spans="1:3" ht="15.75" customHeight="1">
      <c r="A780" s="61"/>
      <c r="C780" s="48"/>
    </row>
    <row r="781" spans="1:3" ht="15.75" customHeight="1">
      <c r="A781" s="61"/>
      <c r="C781" s="48"/>
    </row>
    <row r="782" spans="1:3" ht="15.75" customHeight="1">
      <c r="A782" s="61"/>
      <c r="C782" s="48"/>
    </row>
    <row r="783" spans="1:3" ht="15.75" customHeight="1">
      <c r="A783" s="61"/>
      <c r="C783" s="48"/>
    </row>
    <row r="784" spans="1:3" ht="15.75" customHeight="1">
      <c r="A784" s="61"/>
      <c r="C784" s="48"/>
    </row>
    <row r="785" spans="1:3" ht="15.75" customHeight="1">
      <c r="A785" s="61"/>
      <c r="C785" s="48"/>
    </row>
    <row r="786" spans="1:3" ht="15.75" customHeight="1">
      <c r="A786" s="61"/>
      <c r="C786" s="48"/>
    </row>
    <row r="787" spans="1:3" ht="15.75" customHeight="1">
      <c r="A787" s="61"/>
      <c r="C787" s="48"/>
    </row>
    <row r="788" spans="1:3" ht="15.75" customHeight="1">
      <c r="A788" s="61"/>
      <c r="C788" s="48"/>
    </row>
    <row r="789" spans="1:3" ht="15.75" customHeight="1">
      <c r="A789" s="61"/>
      <c r="C789" s="48"/>
    </row>
    <row r="790" spans="1:3" ht="15.75" customHeight="1">
      <c r="A790" s="61"/>
      <c r="C790" s="48"/>
    </row>
    <row r="791" spans="1:3" ht="15.75" customHeight="1">
      <c r="A791" s="61"/>
      <c r="C791" s="48"/>
    </row>
    <row r="792" spans="1:3" ht="15.75" customHeight="1">
      <c r="A792" s="61"/>
      <c r="C792" s="48"/>
    </row>
    <row r="793" spans="1:3" ht="15.75" customHeight="1">
      <c r="A793" s="61"/>
      <c r="C793" s="48"/>
    </row>
    <row r="794" spans="1:3" ht="15.75" customHeight="1">
      <c r="A794" s="61"/>
      <c r="C794" s="48"/>
    </row>
    <row r="795" spans="1:3" ht="15.75" customHeight="1">
      <c r="A795" s="61"/>
      <c r="C795" s="48"/>
    </row>
    <row r="796" spans="1:3" ht="15.75" customHeight="1">
      <c r="A796" s="61"/>
      <c r="C796" s="48"/>
    </row>
    <row r="797" spans="1:3" ht="15.75" customHeight="1">
      <c r="A797" s="61"/>
      <c r="C797" s="48"/>
    </row>
    <row r="798" spans="1:3" ht="15.75" customHeight="1">
      <c r="A798" s="61"/>
      <c r="C798" s="48"/>
    </row>
    <row r="799" spans="1:3" ht="15.75" customHeight="1">
      <c r="A799" s="61"/>
      <c r="C799" s="48"/>
    </row>
    <row r="800" spans="1:3" ht="15.75" customHeight="1">
      <c r="A800" s="61"/>
      <c r="C800" s="48"/>
    </row>
    <row r="801" spans="1:3" ht="15.75" customHeight="1">
      <c r="A801" s="61"/>
      <c r="C801" s="48"/>
    </row>
    <row r="802" spans="1:3" ht="15.75" customHeight="1">
      <c r="A802" s="61"/>
      <c r="C802" s="48"/>
    </row>
    <row r="803" spans="1:3" ht="15.75" customHeight="1">
      <c r="A803" s="61"/>
      <c r="C803" s="48"/>
    </row>
    <row r="804" spans="1:3" ht="15.75" customHeight="1">
      <c r="A804" s="61"/>
      <c r="C804" s="48"/>
    </row>
    <row r="805" spans="1:3" ht="15.75" customHeight="1">
      <c r="A805" s="61"/>
      <c r="C805" s="48"/>
    </row>
    <row r="806" spans="1:3" ht="15.75" customHeight="1">
      <c r="A806" s="61"/>
      <c r="C806" s="48"/>
    </row>
    <row r="807" spans="1:3" ht="15.75" customHeight="1">
      <c r="A807" s="61"/>
      <c r="C807" s="48"/>
    </row>
    <row r="808" spans="1:3" ht="15.75" customHeight="1">
      <c r="A808" s="61"/>
      <c r="C808" s="48"/>
    </row>
    <row r="809" spans="1:3" ht="15.75" customHeight="1">
      <c r="A809" s="61"/>
      <c r="C809" s="48"/>
    </row>
    <row r="810" spans="1:3" ht="15.75" customHeight="1">
      <c r="A810" s="61"/>
      <c r="C810" s="48"/>
    </row>
    <row r="811" spans="1:3" ht="15.75" customHeight="1">
      <c r="A811" s="61"/>
      <c r="C811" s="48"/>
    </row>
    <row r="812" spans="1:3" ht="15.75" customHeight="1">
      <c r="A812" s="61"/>
      <c r="C812" s="48"/>
    </row>
    <row r="813" spans="1:3" ht="15.75" customHeight="1">
      <c r="A813" s="61"/>
      <c r="C813" s="48"/>
    </row>
    <row r="814" spans="1:3" ht="15.75" customHeight="1">
      <c r="A814" s="61"/>
      <c r="C814" s="48"/>
    </row>
    <row r="815" spans="1:3" ht="15.75" customHeight="1">
      <c r="A815" s="61"/>
      <c r="C815" s="48"/>
    </row>
    <row r="816" spans="1:3" ht="15.75" customHeight="1">
      <c r="A816" s="61"/>
      <c r="C816" s="48"/>
    </row>
    <row r="817" spans="1:3" ht="15.75" customHeight="1">
      <c r="A817" s="61"/>
      <c r="C817" s="48"/>
    </row>
    <row r="818" spans="1:3" ht="15.75" customHeight="1">
      <c r="A818" s="61"/>
      <c r="C818" s="48"/>
    </row>
    <row r="819" spans="1:3" ht="15.75" customHeight="1">
      <c r="A819" s="61"/>
      <c r="C819" s="48"/>
    </row>
    <row r="820" spans="1:3" ht="15.75" customHeight="1">
      <c r="A820" s="61"/>
      <c r="C820" s="48"/>
    </row>
    <row r="821" spans="1:3" ht="15.75" customHeight="1">
      <c r="A821" s="61"/>
      <c r="C821" s="48"/>
    </row>
    <row r="822" spans="1:3" ht="15.75" customHeight="1">
      <c r="A822" s="61"/>
      <c r="C822" s="48"/>
    </row>
    <row r="823" spans="1:3" ht="15.75" customHeight="1">
      <c r="A823" s="61"/>
      <c r="C823" s="48"/>
    </row>
    <row r="824" spans="1:3" ht="15.75" customHeight="1">
      <c r="A824" s="61"/>
      <c r="C824" s="48"/>
    </row>
    <row r="825" spans="1:3" ht="15.75" customHeight="1">
      <c r="A825" s="61"/>
      <c r="C825" s="48"/>
    </row>
    <row r="826" spans="1:3" ht="15.75" customHeight="1">
      <c r="A826" s="61"/>
      <c r="C826" s="48"/>
    </row>
    <row r="827" spans="1:3" ht="15.75" customHeight="1">
      <c r="A827" s="61"/>
      <c r="C827" s="48"/>
    </row>
    <row r="828" spans="1:3" ht="15.75" customHeight="1">
      <c r="A828" s="61"/>
      <c r="C828" s="48"/>
    </row>
    <row r="829" spans="1:3" ht="15.75" customHeight="1">
      <c r="A829" s="61"/>
      <c r="C829" s="48"/>
    </row>
    <row r="830" spans="1:3" ht="15.75" customHeight="1">
      <c r="A830" s="61"/>
      <c r="C830" s="48"/>
    </row>
    <row r="831" spans="1:3" ht="15.75" customHeight="1">
      <c r="A831" s="61"/>
      <c r="C831" s="48"/>
    </row>
    <row r="832" spans="1:3" ht="15.75" customHeight="1">
      <c r="A832" s="61"/>
      <c r="C832" s="48"/>
    </row>
    <row r="833" spans="1:3" ht="15.75" customHeight="1">
      <c r="A833" s="61"/>
      <c r="C833" s="48"/>
    </row>
    <row r="834" spans="1:3" ht="15.75" customHeight="1">
      <c r="A834" s="61"/>
      <c r="C834" s="48"/>
    </row>
    <row r="835" spans="1:3" ht="15.75" customHeight="1">
      <c r="A835" s="61"/>
      <c r="C835" s="48"/>
    </row>
    <row r="836" spans="1:3" ht="15.75" customHeight="1">
      <c r="A836" s="61"/>
      <c r="C836" s="48"/>
    </row>
    <row r="837" spans="1:3" ht="15.75" customHeight="1">
      <c r="A837" s="61"/>
      <c r="C837" s="48"/>
    </row>
    <row r="838" spans="1:3" ht="15.75" customHeight="1">
      <c r="A838" s="61"/>
      <c r="C838" s="48"/>
    </row>
    <row r="839" spans="1:3" ht="15.75" customHeight="1">
      <c r="A839" s="61"/>
      <c r="C839" s="48"/>
    </row>
    <row r="840" spans="1:3" ht="15.75" customHeight="1">
      <c r="A840" s="61"/>
      <c r="C840" s="48"/>
    </row>
    <row r="841" spans="1:3" ht="15.75" customHeight="1">
      <c r="A841" s="61"/>
      <c r="C841" s="48"/>
    </row>
    <row r="842" spans="1:3" ht="15.75" customHeight="1">
      <c r="A842" s="61"/>
      <c r="C842" s="48"/>
    </row>
    <row r="843" spans="1:3" ht="15.75" customHeight="1">
      <c r="A843" s="61"/>
      <c r="C843" s="48"/>
    </row>
    <row r="844" spans="1:3" ht="15.75" customHeight="1">
      <c r="A844" s="61"/>
      <c r="C844" s="48"/>
    </row>
    <row r="845" spans="1:3" ht="15.75" customHeight="1">
      <c r="A845" s="61"/>
      <c r="C845" s="48"/>
    </row>
    <row r="846" spans="1:3" ht="15.75" customHeight="1">
      <c r="A846" s="61"/>
      <c r="C846" s="48"/>
    </row>
    <row r="847" spans="1:3" ht="15.75" customHeight="1">
      <c r="A847" s="61"/>
      <c r="C847" s="48"/>
    </row>
    <row r="848" spans="1:3" ht="15.75" customHeight="1">
      <c r="A848" s="61"/>
      <c r="C848" s="48"/>
    </row>
    <row r="849" spans="1:3" ht="15.75" customHeight="1">
      <c r="A849" s="61"/>
      <c r="C849" s="48"/>
    </row>
    <row r="850" spans="1:3" ht="15.75" customHeight="1">
      <c r="A850" s="61"/>
      <c r="C850" s="48"/>
    </row>
    <row r="851" spans="1:3" ht="15.75" customHeight="1">
      <c r="A851" s="61"/>
      <c r="C851" s="48"/>
    </row>
    <row r="852" spans="1:3" ht="15.75" customHeight="1">
      <c r="A852" s="61"/>
      <c r="C852" s="48"/>
    </row>
    <row r="853" spans="1:3" ht="15.75" customHeight="1">
      <c r="A853" s="61"/>
      <c r="C853" s="48"/>
    </row>
    <row r="854" spans="1:3" ht="15.75" customHeight="1">
      <c r="A854" s="61"/>
      <c r="C854" s="48"/>
    </row>
    <row r="855" spans="1:3" ht="15.75" customHeight="1">
      <c r="A855" s="61"/>
      <c r="C855" s="48"/>
    </row>
    <row r="856" spans="1:3" ht="15.75" customHeight="1">
      <c r="A856" s="61"/>
      <c r="C856" s="48"/>
    </row>
    <row r="857" spans="1:3" ht="15.75" customHeight="1">
      <c r="A857" s="61"/>
      <c r="C857" s="48"/>
    </row>
    <row r="858" spans="1:3" ht="15.75" customHeight="1">
      <c r="A858" s="61"/>
      <c r="C858" s="48"/>
    </row>
    <row r="859" spans="1:3" ht="15.75" customHeight="1">
      <c r="A859" s="61"/>
      <c r="C859" s="48"/>
    </row>
    <row r="860" spans="1:3" ht="15.75" customHeight="1">
      <c r="A860" s="61"/>
      <c r="C860" s="48"/>
    </row>
    <row r="861" spans="1:3" ht="15.75" customHeight="1">
      <c r="A861" s="61"/>
      <c r="C861" s="48"/>
    </row>
    <row r="862" spans="1:3" ht="15.75" customHeight="1">
      <c r="A862" s="61"/>
      <c r="C862" s="48"/>
    </row>
    <row r="863" spans="1:3" ht="15.75" customHeight="1">
      <c r="A863" s="61"/>
      <c r="C863" s="48"/>
    </row>
    <row r="864" spans="1:3" ht="15.75" customHeight="1">
      <c r="A864" s="61"/>
      <c r="C864" s="48"/>
    </row>
    <row r="865" spans="1:3" ht="15.75" customHeight="1">
      <c r="A865" s="61"/>
      <c r="C865" s="48"/>
    </row>
    <row r="866" spans="1:3" ht="15.75" customHeight="1">
      <c r="A866" s="61"/>
      <c r="C866" s="48"/>
    </row>
    <row r="867" spans="1:3" ht="15.75" customHeight="1">
      <c r="A867" s="61"/>
      <c r="C867" s="48"/>
    </row>
    <row r="868" spans="1:3" ht="15.75" customHeight="1">
      <c r="A868" s="61"/>
      <c r="C868" s="48"/>
    </row>
    <row r="869" spans="1:3" ht="15.75" customHeight="1">
      <c r="A869" s="61"/>
      <c r="C869" s="48"/>
    </row>
    <row r="870" spans="1:3" ht="15.75" customHeight="1">
      <c r="A870" s="61"/>
      <c r="C870" s="48"/>
    </row>
    <row r="871" spans="1:3" ht="15.75" customHeight="1">
      <c r="A871" s="61"/>
      <c r="C871" s="48"/>
    </row>
    <row r="872" spans="1:3" ht="15.75" customHeight="1">
      <c r="A872" s="61"/>
      <c r="C872" s="48"/>
    </row>
    <row r="873" spans="1:3" ht="15.75" customHeight="1">
      <c r="A873" s="61"/>
      <c r="C873" s="48"/>
    </row>
    <row r="874" spans="1:3" ht="15.75" customHeight="1">
      <c r="A874" s="61"/>
      <c r="C874" s="48"/>
    </row>
    <row r="875" spans="1:3" ht="15.75" customHeight="1">
      <c r="A875" s="61"/>
      <c r="C875" s="48"/>
    </row>
    <row r="876" spans="1:3" ht="15.75" customHeight="1">
      <c r="A876" s="61"/>
      <c r="C876" s="48"/>
    </row>
    <row r="877" spans="1:3" ht="15.75" customHeight="1">
      <c r="A877" s="61"/>
      <c r="C877" s="48"/>
    </row>
    <row r="878" spans="1:3" ht="15.75" customHeight="1">
      <c r="A878" s="61"/>
      <c r="C878" s="48"/>
    </row>
    <row r="879" spans="1:3" ht="15.75" customHeight="1">
      <c r="A879" s="61"/>
      <c r="C879" s="48"/>
    </row>
    <row r="880" spans="1:3" ht="15.75" customHeight="1">
      <c r="A880" s="61"/>
      <c r="C880" s="48"/>
    </row>
    <row r="881" spans="1:3" ht="15.75" customHeight="1">
      <c r="A881" s="61"/>
      <c r="C881" s="48"/>
    </row>
    <row r="882" spans="1:3" ht="15.75" customHeight="1">
      <c r="A882" s="61"/>
      <c r="C882" s="48"/>
    </row>
    <row r="883" spans="1:3" ht="15.75" customHeight="1">
      <c r="A883" s="61"/>
      <c r="C883" s="48"/>
    </row>
    <row r="884" spans="1:3" ht="15.75" customHeight="1">
      <c r="A884" s="61"/>
      <c r="C884" s="48"/>
    </row>
    <row r="885" spans="1:3" ht="15.75" customHeight="1">
      <c r="A885" s="61"/>
      <c r="C885" s="48"/>
    </row>
    <row r="886" spans="1:3" ht="15.75" customHeight="1">
      <c r="A886" s="61"/>
      <c r="C886" s="48"/>
    </row>
    <row r="887" spans="1:3" ht="15.75" customHeight="1">
      <c r="A887" s="61"/>
      <c r="C887" s="48"/>
    </row>
    <row r="888" spans="1:3" ht="15.75" customHeight="1">
      <c r="A888" s="61"/>
      <c r="C888" s="48"/>
    </row>
    <row r="889" spans="1:3" ht="15.75" customHeight="1">
      <c r="A889" s="61"/>
      <c r="C889" s="48"/>
    </row>
    <row r="890" spans="1:3" ht="15.75" customHeight="1">
      <c r="A890" s="61"/>
      <c r="C890" s="48"/>
    </row>
    <row r="891" spans="1:3" ht="15.75" customHeight="1">
      <c r="A891" s="61"/>
      <c r="C891" s="48"/>
    </row>
    <row r="892" spans="1:3" ht="15.75" customHeight="1">
      <c r="A892" s="61"/>
      <c r="C892" s="48"/>
    </row>
    <row r="893" spans="1:3" ht="15.75" customHeight="1">
      <c r="A893" s="61"/>
      <c r="C893" s="48"/>
    </row>
    <row r="894" spans="1:3" ht="15.75" customHeight="1">
      <c r="A894" s="61"/>
      <c r="C894" s="48"/>
    </row>
    <row r="895" spans="1:3" ht="15.75" customHeight="1">
      <c r="A895" s="61"/>
      <c r="C895" s="48"/>
    </row>
    <row r="896" spans="1:3" ht="15.75" customHeight="1">
      <c r="A896" s="61"/>
      <c r="C896" s="48"/>
    </row>
    <row r="897" spans="1:3" ht="15.75" customHeight="1">
      <c r="A897" s="61"/>
      <c r="C897" s="48"/>
    </row>
    <row r="898" spans="1:3" ht="15.75" customHeight="1">
      <c r="A898" s="61"/>
      <c r="C898" s="48"/>
    </row>
    <row r="899" spans="1:3" ht="15.75" customHeight="1">
      <c r="A899" s="61"/>
      <c r="C899" s="48"/>
    </row>
    <row r="900" spans="1:3" ht="15.75" customHeight="1">
      <c r="A900" s="61"/>
      <c r="C900" s="48"/>
    </row>
    <row r="901" spans="1:3" ht="15.75" customHeight="1">
      <c r="A901" s="61"/>
      <c r="C901" s="48"/>
    </row>
    <row r="902" spans="1:3" ht="15.75" customHeight="1">
      <c r="A902" s="61"/>
      <c r="C902" s="48"/>
    </row>
    <row r="903" spans="1:3" ht="15.75" customHeight="1">
      <c r="A903" s="61"/>
      <c r="C903" s="48"/>
    </row>
    <row r="904" spans="1:3" ht="15.75" customHeight="1">
      <c r="A904" s="61"/>
      <c r="C904" s="48"/>
    </row>
    <row r="905" spans="1:3" ht="15.75" customHeight="1">
      <c r="A905" s="61"/>
      <c r="C905" s="48"/>
    </row>
    <row r="906" spans="1:3" ht="15.75" customHeight="1">
      <c r="A906" s="61"/>
      <c r="C906" s="48"/>
    </row>
    <row r="907" spans="1:3" ht="15.75" customHeight="1">
      <c r="A907" s="61"/>
      <c r="C907" s="48"/>
    </row>
    <row r="908" spans="1:3" ht="15.75" customHeight="1">
      <c r="A908" s="61"/>
      <c r="C908" s="48"/>
    </row>
    <row r="909" spans="1:3" ht="15.75" customHeight="1">
      <c r="A909" s="61"/>
      <c r="C909" s="48"/>
    </row>
    <row r="910" spans="1:3" ht="15.75" customHeight="1">
      <c r="A910" s="61"/>
      <c r="C910" s="48"/>
    </row>
    <row r="911" spans="1:3" ht="15.75" customHeight="1">
      <c r="A911" s="61"/>
      <c r="C911" s="48"/>
    </row>
    <row r="912" spans="1:3" ht="15.75" customHeight="1">
      <c r="A912" s="61"/>
      <c r="C912" s="48"/>
    </row>
    <row r="913" spans="1:3" ht="15.75" customHeight="1">
      <c r="A913" s="61"/>
      <c r="C913" s="48"/>
    </row>
    <row r="914" spans="1:3" ht="15.75" customHeight="1">
      <c r="A914" s="61"/>
      <c r="C914" s="48"/>
    </row>
    <row r="915" spans="1:3" ht="15.75" customHeight="1">
      <c r="A915" s="61"/>
      <c r="C915" s="48"/>
    </row>
    <row r="916" spans="1:3" ht="15.75" customHeight="1">
      <c r="A916" s="61"/>
      <c r="C916" s="48"/>
    </row>
    <row r="917" spans="1:3" ht="15.75" customHeight="1">
      <c r="A917" s="61"/>
      <c r="C917" s="48"/>
    </row>
    <row r="918" spans="1:3" ht="15.75" customHeight="1">
      <c r="A918" s="61"/>
      <c r="C918" s="48"/>
    </row>
    <row r="919" spans="1:3" ht="15.75" customHeight="1">
      <c r="A919" s="61"/>
      <c r="C919" s="48"/>
    </row>
    <row r="920" spans="1:3" ht="15.75" customHeight="1">
      <c r="A920" s="61"/>
      <c r="C920" s="48"/>
    </row>
    <row r="921" spans="1:3" ht="15.75" customHeight="1">
      <c r="A921" s="61"/>
      <c r="C921" s="48"/>
    </row>
    <row r="922" spans="1:3" ht="15.75" customHeight="1">
      <c r="A922" s="61"/>
      <c r="C922" s="48"/>
    </row>
    <row r="923" spans="1:3" ht="15.75" customHeight="1">
      <c r="A923" s="61"/>
      <c r="C923" s="48"/>
    </row>
    <row r="924" spans="1:3" ht="15.75" customHeight="1">
      <c r="A924" s="61"/>
      <c r="C924" s="48"/>
    </row>
    <row r="925" spans="1:3" ht="15.75" customHeight="1">
      <c r="A925" s="61"/>
      <c r="C925" s="48"/>
    </row>
    <row r="926" spans="1:3" ht="15.75" customHeight="1">
      <c r="A926" s="61"/>
      <c r="C926" s="48"/>
    </row>
    <row r="927" spans="1:3" ht="15.75" customHeight="1">
      <c r="A927" s="61"/>
      <c r="C927" s="48"/>
    </row>
    <row r="928" spans="1:3" ht="15.75" customHeight="1">
      <c r="A928" s="61"/>
      <c r="C928" s="48"/>
    </row>
    <row r="929" spans="1:3" ht="15.75" customHeight="1">
      <c r="A929" s="61"/>
      <c r="C929" s="48"/>
    </row>
    <row r="930" spans="1:3" ht="15.75" customHeight="1">
      <c r="A930" s="61"/>
      <c r="C930" s="48"/>
    </row>
    <row r="931" spans="1:3" ht="15.75" customHeight="1">
      <c r="A931" s="61"/>
      <c r="C931" s="48"/>
    </row>
    <row r="932" spans="1:3" ht="15.75" customHeight="1">
      <c r="A932" s="61"/>
      <c r="C932" s="48"/>
    </row>
    <row r="933" spans="1:3" ht="15.75" customHeight="1">
      <c r="A933" s="61"/>
      <c r="C933" s="48"/>
    </row>
    <row r="934" spans="1:3" ht="15.75" customHeight="1">
      <c r="A934" s="61"/>
      <c r="C934" s="48"/>
    </row>
    <row r="935" spans="1:3" ht="15.75" customHeight="1">
      <c r="A935" s="61"/>
      <c r="C935" s="48"/>
    </row>
    <row r="936" spans="1:3" ht="15.75" customHeight="1">
      <c r="A936" s="61"/>
      <c r="C936" s="48"/>
    </row>
    <row r="937" spans="1:3" ht="15.75" customHeight="1">
      <c r="A937" s="61"/>
      <c r="C937" s="48"/>
    </row>
    <row r="938" spans="1:3" ht="15.75" customHeight="1">
      <c r="A938" s="61"/>
      <c r="C938" s="48"/>
    </row>
    <row r="939" spans="1:3" ht="15.75" customHeight="1">
      <c r="A939" s="61"/>
      <c r="C939" s="48"/>
    </row>
    <row r="940" spans="1:3" ht="15.75" customHeight="1">
      <c r="A940" s="61"/>
      <c r="C940" s="48"/>
    </row>
    <row r="941" spans="1:3" ht="15.75" customHeight="1">
      <c r="A941" s="61"/>
      <c r="C941" s="48"/>
    </row>
    <row r="942" spans="1:3" ht="15.75" customHeight="1">
      <c r="A942" s="61"/>
      <c r="C942" s="48"/>
    </row>
    <row r="943" spans="1:3" ht="15.75" customHeight="1">
      <c r="A943" s="61"/>
      <c r="C943" s="48"/>
    </row>
    <row r="944" spans="1:3" ht="15.75" customHeight="1">
      <c r="A944" s="61"/>
      <c r="C944" s="48"/>
    </row>
    <row r="945" spans="1:3" ht="15.75" customHeight="1">
      <c r="A945" s="61"/>
      <c r="C945" s="48"/>
    </row>
    <row r="946" spans="1:3" ht="15.75" customHeight="1">
      <c r="A946" s="61"/>
      <c r="C946" s="48"/>
    </row>
    <row r="947" spans="1:3" ht="15.75" customHeight="1">
      <c r="A947" s="61"/>
      <c r="C947" s="48"/>
    </row>
    <row r="948" spans="1:3" ht="15.75" customHeight="1">
      <c r="A948" s="61"/>
      <c r="C948" s="48"/>
    </row>
    <row r="949" spans="1:3" ht="15.75" customHeight="1">
      <c r="A949" s="61"/>
      <c r="C949" s="48"/>
    </row>
    <row r="950" spans="1:3" ht="15.75" customHeight="1">
      <c r="A950" s="61"/>
      <c r="C950" s="48"/>
    </row>
    <row r="951" spans="1:3" ht="15.75" customHeight="1">
      <c r="A951" s="61"/>
      <c r="C951" s="48"/>
    </row>
    <row r="952" spans="1:3" ht="15.75" customHeight="1">
      <c r="A952" s="61"/>
      <c r="C952" s="48"/>
    </row>
    <row r="953" spans="1:3" ht="15.75" customHeight="1">
      <c r="A953" s="61"/>
      <c r="C953" s="48"/>
    </row>
    <row r="954" spans="1:3" ht="15.75" customHeight="1">
      <c r="A954" s="61"/>
      <c r="C954" s="48"/>
    </row>
    <row r="955" spans="1:3" ht="15.75" customHeight="1">
      <c r="A955" s="61"/>
      <c r="C955" s="48"/>
    </row>
    <row r="956" spans="1:3" ht="15.75" customHeight="1">
      <c r="A956" s="61"/>
      <c r="C956" s="48"/>
    </row>
    <row r="957" spans="1:3" ht="15.75" customHeight="1">
      <c r="A957" s="61"/>
      <c r="C957" s="48"/>
    </row>
    <row r="958" spans="1:3" ht="15.75" customHeight="1">
      <c r="A958" s="61"/>
      <c r="C958" s="48"/>
    </row>
    <row r="959" spans="1:3" ht="15.75" customHeight="1">
      <c r="A959" s="61"/>
      <c r="C959" s="48"/>
    </row>
    <row r="960" spans="1:3" ht="15.75" customHeight="1">
      <c r="A960" s="61"/>
      <c r="C960" s="48"/>
    </row>
    <row r="961" spans="1:3" ht="15.75" customHeight="1">
      <c r="A961" s="61"/>
      <c r="C961" s="48"/>
    </row>
    <row r="962" spans="1:3" ht="15.75" customHeight="1">
      <c r="A962" s="61"/>
      <c r="C962" s="48"/>
    </row>
    <row r="963" spans="1:3" ht="15.75" customHeight="1">
      <c r="A963" s="61"/>
      <c r="C963" s="48"/>
    </row>
    <row r="964" spans="1:3" ht="15.75" customHeight="1">
      <c r="A964" s="61"/>
      <c r="C964" s="48"/>
    </row>
    <row r="965" spans="1:3" ht="15.75" customHeight="1">
      <c r="A965" s="61"/>
      <c r="C965" s="48"/>
    </row>
    <row r="966" spans="1:3" ht="15.75" customHeight="1">
      <c r="A966" s="61"/>
      <c r="C966" s="48"/>
    </row>
    <row r="967" spans="1:3" ht="15.75" customHeight="1">
      <c r="A967" s="61"/>
      <c r="C967" s="48"/>
    </row>
    <row r="968" spans="1:3" ht="15.75" customHeight="1">
      <c r="A968" s="61"/>
      <c r="C968" s="48"/>
    </row>
    <row r="969" spans="1:3" ht="15.75" customHeight="1">
      <c r="A969" s="61"/>
      <c r="C969" s="48"/>
    </row>
    <row r="970" spans="1:3" ht="15.75" customHeight="1">
      <c r="A970" s="61"/>
      <c r="C970" s="48"/>
    </row>
    <row r="971" spans="1:3" ht="15.75" customHeight="1">
      <c r="A971" s="61"/>
      <c r="C971" s="48"/>
    </row>
    <row r="972" spans="1:3" ht="15.75" customHeight="1">
      <c r="A972" s="61"/>
      <c r="C972" s="48"/>
    </row>
    <row r="973" spans="1:3" ht="15.75" customHeight="1">
      <c r="A973" s="61"/>
      <c r="C973" s="48"/>
    </row>
    <row r="974" spans="1:3" ht="15.75" customHeight="1">
      <c r="A974" s="61"/>
      <c r="C974" s="48"/>
    </row>
    <row r="975" spans="1:3" ht="15.75" customHeight="1">
      <c r="A975" s="61"/>
      <c r="C975" s="48"/>
    </row>
    <row r="976" spans="1:3" ht="15.75" customHeight="1">
      <c r="A976" s="61"/>
      <c r="C976" s="48"/>
    </row>
    <row r="977" spans="1:3" ht="15.75" customHeight="1">
      <c r="A977" s="61"/>
      <c r="C977" s="48"/>
    </row>
    <row r="978" spans="1:3" ht="15.75" customHeight="1">
      <c r="A978" s="61"/>
      <c r="C978" s="48"/>
    </row>
    <row r="979" spans="1:3" ht="15.75" customHeight="1">
      <c r="A979" s="61"/>
      <c r="C979" s="48"/>
    </row>
    <row r="980" spans="1:3" ht="15.75" customHeight="1">
      <c r="A980" s="61"/>
      <c r="C980" s="48"/>
    </row>
    <row r="981" spans="1:3" ht="15.75" customHeight="1">
      <c r="A981" s="61"/>
      <c r="C981" s="48"/>
    </row>
    <row r="982" spans="1:3" ht="15.75" customHeight="1">
      <c r="A982" s="61"/>
      <c r="C982" s="48"/>
    </row>
    <row r="983" spans="1:3" ht="15.75" customHeight="1">
      <c r="A983" s="61"/>
      <c r="C983" s="48"/>
    </row>
    <row r="984" spans="1:3" ht="15.75" customHeight="1">
      <c r="A984" s="61"/>
      <c r="C984" s="48"/>
    </row>
    <row r="985" spans="1:3" ht="15" customHeight="1">
      <c r="A985" s="61"/>
      <c r="C985" s="48"/>
    </row>
    <row r="986" spans="1:3" ht="15" customHeight="1">
      <c r="A986" s="61"/>
      <c r="C986" s="48"/>
    </row>
    <row r="987" spans="1:3" ht="15" customHeight="1">
      <c r="A987" s="61"/>
      <c r="C987" s="48"/>
    </row>
    <row r="988" spans="1:3" ht="15" customHeight="1">
      <c r="A988" s="61"/>
      <c r="C988" s="48"/>
    </row>
    <row r="989" spans="1:3" ht="15" customHeight="1">
      <c r="A989" s="61"/>
      <c r="C989" s="48"/>
    </row>
    <row r="990" spans="1:3" ht="15" customHeight="1">
      <c r="A990" s="61"/>
      <c r="C990" s="48"/>
    </row>
    <row r="991" spans="1:3" ht="15" customHeight="1">
      <c r="A991" s="61"/>
      <c r="C991" s="48"/>
    </row>
    <row r="992" spans="1:3" ht="15" customHeight="1">
      <c r="A992" s="61"/>
      <c r="C992" s="48"/>
    </row>
    <row r="993" spans="1:3" ht="15" customHeight="1">
      <c r="A993" s="61"/>
      <c r="C993" s="48"/>
    </row>
    <row r="994" spans="1:3" ht="15" customHeight="1">
      <c r="A994" s="61"/>
      <c r="C994" s="48"/>
    </row>
    <row r="995" spans="1:3" ht="15" customHeight="1">
      <c r="A995" s="61"/>
      <c r="C995" s="48"/>
    </row>
    <row r="996" spans="1:3" ht="15" customHeight="1">
      <c r="A996" s="61"/>
      <c r="C996" s="48"/>
    </row>
    <row r="997" spans="1:3" ht="15" customHeight="1">
      <c r="A997" s="61"/>
      <c r="C997" s="48"/>
    </row>
    <row r="998" spans="1:3" ht="15" customHeight="1">
      <c r="A998" s="61"/>
      <c r="C998" s="48"/>
    </row>
    <row r="999" spans="1:3" ht="15" customHeight="1">
      <c r="A999" s="61"/>
      <c r="C999" s="48"/>
    </row>
    <row r="1000" spans="1:3" ht="15" customHeight="1">
      <c r="A1000" s="61"/>
      <c r="C1000" s="48"/>
    </row>
    <row r="1001" spans="1:3" ht="15" customHeight="1">
      <c r="A1001" s="61"/>
      <c r="C1001" s="48"/>
    </row>
  </sheetData>
  <mergeCells count="13">
    <mergeCell ref="A6:B6"/>
    <mergeCell ref="C6:E6"/>
    <mergeCell ref="A7:B7"/>
    <mergeCell ref="C7:E7"/>
    <mergeCell ref="A8:B8"/>
    <mergeCell ref="C8:G8"/>
    <mergeCell ref="A5:B5"/>
    <mergeCell ref="C5:E5"/>
    <mergeCell ref="A1:J2"/>
    <mergeCell ref="A3:B3"/>
    <mergeCell ref="C3:E3"/>
    <mergeCell ref="A4:B4"/>
    <mergeCell ref="C4:E4"/>
  </mergeCells>
  <conditionalFormatting sqref="B51:B1001">
    <cfRule type="expression" dxfId="27" priority="2">
      <formula>OR(#REF!=#REF!,#REF!=#REF!,#REF!=#REF!)</formula>
    </cfRule>
  </conditionalFormatting>
  <conditionalFormatting sqref="B51:B1001">
    <cfRule type="expression" dxfId="26" priority="3">
      <formula>OR(#REF!=#REF!,#REF!=#REF!,#REF!=#REF!)</formula>
    </cfRule>
  </conditionalFormatting>
  <conditionalFormatting sqref="B51:B1001">
    <cfRule type="expression" dxfId="25" priority="4">
      <formula>OR(#REF!=#REF!,#REF!=#REF!,#REF!=#REF!)</formula>
    </cfRule>
  </conditionalFormatting>
  <conditionalFormatting sqref="B51:B1001">
    <cfRule type="expression" dxfId="24" priority="5">
      <formula>OR(#REF!=#REF!,#REF!=#REF!,#REF!=#REF!)</formula>
    </cfRule>
  </conditionalFormatting>
  <conditionalFormatting sqref="B51:B1001">
    <cfRule type="expression" dxfId="23" priority="7">
      <formula>OR(#REF!=#REF!,#REF!=#REF!,#REF!=#REF!)</formula>
    </cfRule>
  </conditionalFormatting>
  <conditionalFormatting sqref="B51:B1001">
    <cfRule type="expression" dxfId="22" priority="9">
      <formula>OR(#REF!=#REF!,#REF!=#REF!,#REF!=#REF!)</formula>
    </cfRule>
  </conditionalFormatting>
  <conditionalFormatting sqref="B51:B1001">
    <cfRule type="expression" dxfId="21" priority="10">
      <formula>OR(#REF!=#REF!,#REF!=#REF!,#REF!=#REF!)</formula>
    </cfRule>
  </conditionalFormatting>
  <conditionalFormatting sqref="B51:B1001">
    <cfRule type="expression" dxfId="20" priority="11">
      <formula>OR(#REF!=#REF!,#REF!=#REF!,#REF!=#REF!)</formula>
    </cfRule>
  </conditionalFormatting>
  <conditionalFormatting sqref="B68:B1001">
    <cfRule type="expression" dxfId="19" priority="74">
      <formula>OR($P51=#REF!,#REF!=#REF!,#REF!=#REF!)</formula>
    </cfRule>
  </conditionalFormatting>
  <conditionalFormatting sqref="B68:B1001">
    <cfRule type="expression" dxfId="18" priority="84">
      <formula>OR($R51=#REF!,#REF!=#REF!,#REF!=#REF!)</formula>
    </cfRule>
  </conditionalFormatting>
  <conditionalFormatting sqref="B68:B1001">
    <cfRule type="expression" dxfId="17" priority="88">
      <formula>OR($P51=#REF!,#REF!=#REF!,#REF!=#REF!)</formula>
    </cfRule>
  </conditionalFormatting>
  <conditionalFormatting sqref="B51">
    <cfRule type="expression" dxfId="16" priority="99">
      <formula>OR($P50=#REF!,#REF!=#REF!,#REF!=#REF!)</formula>
    </cfRule>
  </conditionalFormatting>
  <conditionalFormatting sqref="B52:B67">
    <cfRule type="expression" dxfId="15" priority="101">
      <formula>OR(#REF!=#REF!,#REF!=#REF!,#REF!=#REF!)</formula>
    </cfRule>
  </conditionalFormatting>
  <conditionalFormatting sqref="B51">
    <cfRule type="expression" dxfId="14" priority="103">
      <formula>OR($R50=#REF!,#REF!=#REF!,#REF!=#REF!)</formula>
    </cfRule>
  </conditionalFormatting>
  <conditionalFormatting sqref="B52:B67">
    <cfRule type="expression" dxfId="13" priority="105">
      <formula>OR(#REF!=#REF!,#REF!=#REF!,#REF!=#REF!)</formula>
    </cfRule>
  </conditionalFormatting>
  <conditionalFormatting sqref="B51">
    <cfRule type="expression" dxfId="12" priority="107">
      <formula>OR($P50=#REF!,#REF!=#REF!,#REF!=#REF!)</formula>
    </cfRule>
  </conditionalFormatting>
  <conditionalFormatting sqref="B52:B67">
    <cfRule type="expression" dxfId="11" priority="109">
      <formula>OR(#REF!=#REF!,#REF!=#REF!,#REF!=#REF!)</formula>
    </cfRule>
  </conditionalFormatting>
  <dataValidations count="1">
    <dataValidation type="list" allowBlank="1" showErrorMessage="1" sqref="C10:C50" xr:uid="{00000000-0002-0000-0100-000000000000}">
      <formula1>"TI,CC,PPT,PEP"</formula1>
    </dataValidation>
  </dataValidations>
  <hyperlinks>
    <hyperlink ref="C8" r:id="rId1" display="https://drive.com/drive/folders/1kSqA9LYbH9MFZSxu9MCl…." xr:uid="{00000000-0004-0000-0100-000000000000}"/>
    <hyperlink ref="C6" r:id="rId2" xr:uid="{D22493CA-B375-4FF5-BB8B-EA89827CF311}"/>
    <hyperlink ref="F10" r:id="rId3" xr:uid="{CEB8B3CE-0F0D-4B93-A085-6CB8B33E683E}"/>
    <hyperlink ref="F33" r:id="rId4" xr:uid="{C06B192E-0B35-44C2-8435-2080C72E32EA}"/>
    <hyperlink ref="F11" r:id="rId5" xr:uid="{8AE31DE9-D8D8-4460-A17E-6E28391C068F}"/>
    <hyperlink ref="F37" r:id="rId6" xr:uid="{B838155D-2194-4926-A0CC-4249F6852C9F}"/>
    <hyperlink ref="F38" r:id="rId7" xr:uid="{587E432F-68DC-4501-9EBF-BF692366C5F8}"/>
    <hyperlink ref="F12" r:id="rId8" xr:uid="{EA68AD7B-276E-4D36-80ED-A8D548B5674E}"/>
    <hyperlink ref="F13" r:id="rId9" xr:uid="{D2225166-D2EF-4F36-82EE-C65D04DE5E23}"/>
    <hyperlink ref="F20" r:id="rId10" xr:uid="{BF1041D0-8857-4A4F-94FD-811F3700BECB}"/>
    <hyperlink ref="F43" r:id="rId11" xr:uid="{934EF362-0EBA-4CB1-B086-2EDF40D95675}"/>
    <hyperlink ref="F14" r:id="rId12" xr:uid="{0AD68835-CBDA-4531-A3F3-6A499FE27962}"/>
    <hyperlink ref="F49" r:id="rId13" xr:uid="{929EAD27-9A37-4EF9-9545-1DCA90D720D3}"/>
    <hyperlink ref="F31" r:id="rId14" xr:uid="{B578B3CE-94B5-4C72-9D4F-C3D1C5DA2847}"/>
    <hyperlink ref="F24" r:id="rId15" xr:uid="{8D373385-EC76-4030-A78F-06B321B1F2A6}"/>
    <hyperlink ref="F35" r:id="rId16" xr:uid="{4CFD4793-ED01-4C7B-A38C-A02D33B05808}"/>
    <hyperlink ref="F15" r:id="rId17" xr:uid="{A1465D0B-2868-41BA-B434-5D08D8396743}"/>
    <hyperlink ref="F17" r:id="rId18" xr:uid="{D50E0C4D-EDA6-4C2C-9A7C-C4B4F9AB6200}"/>
    <hyperlink ref="F28" r:id="rId19" xr:uid="{43C16F26-3EEF-4E6A-9C3C-A43AD3BD57EA}"/>
    <hyperlink ref="F18" r:id="rId20" xr:uid="{2AD5747B-D17A-445B-A4F1-A6488C5066EC}"/>
    <hyperlink ref="F41" r:id="rId21" xr:uid="{DFC5B139-2C3F-4313-834E-B6700D5210D2}"/>
    <hyperlink ref="F44" r:id="rId22" xr:uid="{2F323C21-1147-4B49-8116-ED043346B9BF}"/>
    <hyperlink ref="F25" r:id="rId23" xr:uid="{0F0628DC-F923-4D6F-9BC8-AB0820C60A75}"/>
    <hyperlink ref="F30" r:id="rId24" xr:uid="{E9A02CAF-D2DD-4D36-BEB0-4CF201F8B92D}"/>
    <hyperlink ref="F16" r:id="rId25" xr:uid="{79F1B9C0-26CA-4142-A4EE-65C5C3F4B57A}"/>
    <hyperlink ref="F23" r:id="rId26" xr:uid="{29C1513C-1D13-4D83-8978-92E905C546CF}"/>
    <hyperlink ref="F19" r:id="rId27" xr:uid="{F4A3A8BB-A615-4975-9933-99F4C2E041A1}"/>
    <hyperlink ref="F36" r:id="rId28" xr:uid="{38E1038E-84DE-41CF-BE53-D337729E48E3}"/>
    <hyperlink ref="F46" r:id="rId29" xr:uid="{5C2C5340-C80B-43F2-95B5-6B48F06FBA45}"/>
    <hyperlink ref="F21" r:id="rId30" xr:uid="{65D7CDDE-7A5B-48F5-931C-4039864FEECD}"/>
    <hyperlink ref="F27" r:id="rId31" xr:uid="{A9DF265D-38E4-400C-BA60-F73E41D27D4F}"/>
    <hyperlink ref="F39" r:id="rId32" xr:uid="{89E576AD-9B55-40E2-9C36-6DF37EF46A3B}"/>
    <hyperlink ref="F50" r:id="rId33" xr:uid="{EB2905B4-5792-458F-B18D-896CA01FABA8}"/>
    <hyperlink ref="F48" r:id="rId34" xr:uid="{8971A54C-982F-45E1-8C4B-79867F09F844}"/>
    <hyperlink ref="F26" r:id="rId35" xr:uid="{BFFC8A47-8415-43CD-BD74-18274EC3C43E}"/>
    <hyperlink ref="F47" r:id="rId36" xr:uid="{AC568AF9-3D46-4926-A629-28A22BF71430}"/>
    <hyperlink ref="F22" r:id="rId37" xr:uid="{AB9E33DD-B8AC-4563-8C7A-53C1248475AF}"/>
    <hyperlink ref="F32" r:id="rId38" xr:uid="{B5E3CEF5-817D-4143-9F8D-7377EEBB1F50}"/>
    <hyperlink ref="F45" r:id="rId39" xr:uid="{CFC3DF65-EAC0-4A8A-94ED-A3813DB49E1F}"/>
    <hyperlink ref="F42" r:id="rId40" xr:uid="{FB746837-A275-4A75-AA29-76724774F666}"/>
    <hyperlink ref="F29" r:id="rId41" xr:uid="{B5F96542-4A76-4739-A023-3F5C057C4DC1}"/>
    <hyperlink ref="K25" r:id="rId42" xr:uid="{23CD92BE-1F25-4F8B-81BD-13B277961E6B}"/>
    <hyperlink ref="F34" r:id="rId43" xr:uid="{FAECD792-48E3-429C-ADC5-BCB9A966B3FC}"/>
    <hyperlink ref="K29" r:id="rId44" xr:uid="{4270EC2D-BC7C-4DE0-AD96-C660A8F97317}"/>
    <hyperlink ref="K19" r:id="rId45" xr:uid="{AA7FDC26-8E03-444B-B1F2-9E461DA65526}"/>
    <hyperlink ref="K40" r:id="rId46" xr:uid="{BAB37514-4431-4634-9174-664A678EF97A}"/>
    <hyperlink ref="K41" r:id="rId47" xr:uid="{D5B2D629-4030-46D6-9D32-9A00709F9CDB}"/>
    <hyperlink ref="K48" r:id="rId48" xr:uid="{B8873F42-84DF-4126-A941-BF86B5DE1711}"/>
    <hyperlink ref="K20" r:id="rId49" xr:uid="{40995AA9-9B46-4B56-A60E-EA131AF4F947}"/>
  </hyperlinks>
  <pageMargins left="0.7" right="0.7" top="0.75" bottom="0.75" header="0" footer="0"/>
  <pageSetup orientation="landscape"/>
  <tableParts count="1">
    <tablePart r:id="rId50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'ASISTENCIA '!$DY$9:$DY$20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outlinePr summaryBelow="0" summaryRight="0"/>
  </sheetPr>
  <dimension ref="A1:F59"/>
  <sheetViews>
    <sheetView topLeftCell="A19" workbookViewId="0">
      <selection activeCell="B25" sqref="B25:D25"/>
    </sheetView>
  </sheetViews>
  <sheetFormatPr baseColWidth="10" defaultColWidth="11.25" defaultRowHeight="15" customHeight="1"/>
  <cols>
    <col min="2" max="2" width="27.125" customWidth="1"/>
    <col min="3" max="3" width="24.375" customWidth="1"/>
    <col min="4" max="4" width="36.75" customWidth="1"/>
  </cols>
  <sheetData>
    <row r="1" spans="1:6" ht="15" customHeight="1">
      <c r="A1" s="240" t="s">
        <v>79</v>
      </c>
      <c r="B1" s="206"/>
      <c r="C1" s="206"/>
      <c r="D1" s="206"/>
      <c r="E1" s="63"/>
      <c r="F1" s="63"/>
    </row>
    <row r="2" spans="1:6" ht="15.75">
      <c r="A2" s="112" t="s">
        <v>80</v>
      </c>
      <c r="B2" s="113" t="s">
        <v>81</v>
      </c>
      <c r="C2" s="113" t="s">
        <v>82</v>
      </c>
      <c r="D2" s="114" t="s">
        <v>83</v>
      </c>
    </row>
    <row r="3" spans="1:6" ht="15.75">
      <c r="A3" s="234" t="s">
        <v>390</v>
      </c>
      <c r="B3" s="102" t="s">
        <v>310</v>
      </c>
      <c r="C3" s="102" t="s">
        <v>311</v>
      </c>
      <c r="D3" s="103" t="s">
        <v>136</v>
      </c>
    </row>
    <row r="4" spans="1:6" ht="15.75">
      <c r="A4" s="235"/>
      <c r="B4" s="102" t="s">
        <v>312</v>
      </c>
      <c r="C4" s="102" t="s">
        <v>313</v>
      </c>
      <c r="D4" s="103" t="s">
        <v>158</v>
      </c>
    </row>
    <row r="5" spans="1:6" ht="15.75">
      <c r="A5" s="235"/>
      <c r="B5" s="102" t="s">
        <v>377</v>
      </c>
      <c r="C5" s="102" t="s">
        <v>378</v>
      </c>
      <c r="D5" s="103" t="s">
        <v>172</v>
      </c>
    </row>
    <row r="6" spans="1:6" ht="15.75">
      <c r="A6" s="235"/>
      <c r="B6" s="102" t="s">
        <v>326</v>
      </c>
      <c r="C6" s="102" t="s">
        <v>327</v>
      </c>
      <c r="D6" s="103" t="s">
        <v>328</v>
      </c>
    </row>
    <row r="7" spans="1:6" ht="15.75">
      <c r="A7" s="236"/>
      <c r="B7" s="104"/>
      <c r="C7" s="104"/>
      <c r="D7" s="117"/>
    </row>
    <row r="8" spans="1:6" ht="15.75">
      <c r="B8" s="67"/>
    </row>
    <row r="9" spans="1:6" ht="15.75">
      <c r="A9" s="112" t="s">
        <v>84</v>
      </c>
      <c r="B9" s="113" t="s">
        <v>81</v>
      </c>
      <c r="C9" s="113" t="s">
        <v>82</v>
      </c>
      <c r="D9" s="114" t="s">
        <v>83</v>
      </c>
    </row>
    <row r="10" spans="1:6" ht="15.75">
      <c r="A10" s="234" t="s">
        <v>388</v>
      </c>
      <c r="B10" s="102" t="s">
        <v>314</v>
      </c>
      <c r="C10" s="102" t="s">
        <v>315</v>
      </c>
      <c r="D10" s="103" t="s">
        <v>137</v>
      </c>
    </row>
    <row r="11" spans="1:6" ht="15.75">
      <c r="A11" s="235"/>
      <c r="B11" s="102" t="s">
        <v>316</v>
      </c>
      <c r="C11" s="102" t="s">
        <v>317</v>
      </c>
      <c r="D11" s="103" t="s">
        <v>162</v>
      </c>
    </row>
    <row r="12" spans="1:6" ht="15.75">
      <c r="A12" s="235"/>
      <c r="B12" s="102" t="s">
        <v>318</v>
      </c>
      <c r="C12" s="102" t="s">
        <v>319</v>
      </c>
      <c r="D12" s="103" t="s">
        <v>163</v>
      </c>
    </row>
    <row r="13" spans="1:6" ht="15.75">
      <c r="A13" s="235"/>
      <c r="B13" s="102" t="s">
        <v>320</v>
      </c>
      <c r="C13" s="102" t="s">
        <v>321</v>
      </c>
      <c r="D13" s="103" t="s">
        <v>138</v>
      </c>
    </row>
    <row r="14" spans="1:6" ht="15.75">
      <c r="A14" s="235"/>
      <c r="B14" s="115" t="s">
        <v>401</v>
      </c>
      <c r="C14" s="115" t="s">
        <v>402</v>
      </c>
      <c r="D14" s="116" t="s">
        <v>159</v>
      </c>
    </row>
    <row r="15" spans="1:6" ht="16.5" thickBot="1">
      <c r="A15" s="236"/>
      <c r="B15" s="104" t="s">
        <v>322</v>
      </c>
      <c r="C15" s="104" t="s">
        <v>323</v>
      </c>
      <c r="D15" s="105" t="s">
        <v>151</v>
      </c>
    </row>
    <row r="17" spans="1:4" ht="15.75">
      <c r="A17" s="112" t="s">
        <v>85</v>
      </c>
      <c r="B17" s="113" t="s">
        <v>81</v>
      </c>
      <c r="C17" s="113" t="s">
        <v>82</v>
      </c>
      <c r="D17" s="114" t="s">
        <v>83</v>
      </c>
    </row>
    <row r="18" spans="1:4" ht="15.75">
      <c r="A18" s="234" t="s">
        <v>389</v>
      </c>
      <c r="B18" s="102" t="s">
        <v>331</v>
      </c>
      <c r="C18" s="102" t="s">
        <v>332</v>
      </c>
      <c r="D18" s="103" t="s">
        <v>140</v>
      </c>
    </row>
    <row r="19" spans="1:4" ht="15.75">
      <c r="A19" s="235"/>
      <c r="B19" s="102" t="s">
        <v>333</v>
      </c>
      <c r="C19" s="102" t="s">
        <v>334</v>
      </c>
      <c r="D19" s="103" t="s">
        <v>174</v>
      </c>
    </row>
    <row r="20" spans="1:4" ht="15.75">
      <c r="A20" s="235"/>
      <c r="B20" s="102" t="s">
        <v>335</v>
      </c>
      <c r="C20" s="102" t="s">
        <v>336</v>
      </c>
      <c r="D20" s="103" t="s">
        <v>156</v>
      </c>
    </row>
    <row r="21" spans="1:4" ht="15.75">
      <c r="A21" s="235"/>
      <c r="B21" s="102" t="s">
        <v>337</v>
      </c>
      <c r="C21" s="102" t="s">
        <v>338</v>
      </c>
      <c r="D21" s="103" t="s">
        <v>149</v>
      </c>
    </row>
    <row r="22" spans="1:4" ht="16.5" thickBot="1">
      <c r="A22" s="236"/>
      <c r="B22" s="104" t="s">
        <v>339</v>
      </c>
      <c r="C22" s="104" t="s">
        <v>340</v>
      </c>
      <c r="D22" s="105" t="s">
        <v>160</v>
      </c>
    </row>
    <row r="23" spans="1:4" ht="15" customHeight="1" thickBot="1"/>
    <row r="24" spans="1:4" ht="15.75">
      <c r="A24" s="118" t="s">
        <v>86</v>
      </c>
      <c r="B24" s="119" t="s">
        <v>81</v>
      </c>
      <c r="C24" s="119" t="s">
        <v>82</v>
      </c>
      <c r="D24" s="120" t="s">
        <v>83</v>
      </c>
    </row>
    <row r="25" spans="1:4" ht="15.75" customHeight="1">
      <c r="A25" s="241" t="s">
        <v>391</v>
      </c>
      <c r="B25" s="121"/>
      <c r="C25" s="121"/>
      <c r="D25" s="122"/>
    </row>
    <row r="26" spans="1:4" ht="15.75">
      <c r="A26" s="242"/>
      <c r="B26" s="121" t="s">
        <v>343</v>
      </c>
      <c r="C26" s="121" t="s">
        <v>344</v>
      </c>
      <c r="D26" s="122" t="s">
        <v>143</v>
      </c>
    </row>
    <row r="27" spans="1:4" ht="15.75">
      <c r="A27" s="242"/>
      <c r="B27" s="121" t="s">
        <v>345</v>
      </c>
      <c r="C27" s="121" t="s">
        <v>346</v>
      </c>
      <c r="D27" s="122" t="s">
        <v>153</v>
      </c>
    </row>
    <row r="28" spans="1:4" ht="15.75">
      <c r="A28" s="242"/>
      <c r="B28" s="121" t="s">
        <v>397</v>
      </c>
      <c r="C28" s="121" t="s">
        <v>398</v>
      </c>
      <c r="D28" s="123"/>
    </row>
    <row r="29" spans="1:4" ht="16.5" thickBot="1">
      <c r="A29" s="243"/>
      <c r="B29" s="124"/>
      <c r="C29" s="124"/>
      <c r="D29" s="125"/>
    </row>
    <row r="30" spans="1:4" ht="15" customHeight="1" thickBot="1"/>
    <row r="31" spans="1:4" ht="15.75">
      <c r="A31" s="109" t="s">
        <v>87</v>
      </c>
      <c r="B31" s="110" t="s">
        <v>81</v>
      </c>
      <c r="C31" s="110" t="s">
        <v>82</v>
      </c>
      <c r="D31" s="111" t="s">
        <v>83</v>
      </c>
    </row>
    <row r="32" spans="1:4" ht="15.75" customHeight="1">
      <c r="A32" s="237" t="s">
        <v>393</v>
      </c>
      <c r="B32" s="102" t="s">
        <v>347</v>
      </c>
      <c r="C32" s="102" t="s">
        <v>348</v>
      </c>
      <c r="D32" s="106" t="s">
        <v>144</v>
      </c>
    </row>
    <row r="33" spans="1:4" ht="15.75">
      <c r="A33" s="238"/>
      <c r="B33" s="102" t="s">
        <v>392</v>
      </c>
      <c r="C33" s="102" t="s">
        <v>349</v>
      </c>
      <c r="D33" s="106" t="s">
        <v>166</v>
      </c>
    </row>
    <row r="34" spans="1:4" ht="15.75">
      <c r="A34" s="238"/>
      <c r="B34" s="102" t="s">
        <v>350</v>
      </c>
      <c r="C34" s="102" t="s">
        <v>351</v>
      </c>
      <c r="D34" s="106" t="s">
        <v>169</v>
      </c>
    </row>
    <row r="35" spans="1:4" ht="15.75">
      <c r="A35" s="238"/>
      <c r="B35" s="102" t="s">
        <v>352</v>
      </c>
      <c r="C35" s="102" t="s">
        <v>353</v>
      </c>
      <c r="D35" s="106" t="s">
        <v>150</v>
      </c>
    </row>
    <row r="36" spans="1:4" ht="15.75">
      <c r="A36" s="238"/>
      <c r="B36" s="115" t="s">
        <v>399</v>
      </c>
      <c r="C36" s="115" t="s">
        <v>400</v>
      </c>
      <c r="D36" s="126" t="s">
        <v>154</v>
      </c>
    </row>
    <row r="37" spans="1:4" ht="15" customHeight="1" thickBot="1">
      <c r="A37" s="239"/>
      <c r="B37" s="107" t="s">
        <v>354</v>
      </c>
      <c r="C37" s="107" t="s">
        <v>355</v>
      </c>
      <c r="D37" s="108" t="s">
        <v>155</v>
      </c>
    </row>
    <row r="38" spans="1:4" ht="15" customHeight="1" thickBot="1">
      <c r="A38" s="98"/>
      <c r="B38" s="100"/>
      <c r="C38" s="100"/>
      <c r="D38" s="101"/>
    </row>
    <row r="39" spans="1:4" ht="15.75">
      <c r="A39" s="109" t="s">
        <v>88</v>
      </c>
      <c r="B39" s="110" t="s">
        <v>81</v>
      </c>
      <c r="C39" s="110" t="s">
        <v>82</v>
      </c>
      <c r="D39" s="111" t="s">
        <v>83</v>
      </c>
    </row>
    <row r="40" spans="1:4" ht="15.75">
      <c r="A40" s="237" t="s">
        <v>394</v>
      </c>
      <c r="B40" s="102" t="s">
        <v>356</v>
      </c>
      <c r="C40" s="102" t="s">
        <v>357</v>
      </c>
      <c r="D40" s="106" t="s">
        <v>142</v>
      </c>
    </row>
    <row r="41" spans="1:4" ht="15.75">
      <c r="A41" s="238"/>
      <c r="B41" s="102" t="s">
        <v>358</v>
      </c>
      <c r="C41" s="102" t="s">
        <v>359</v>
      </c>
      <c r="D41" s="106" t="s">
        <v>148</v>
      </c>
    </row>
    <row r="42" spans="1:4" ht="15.75">
      <c r="A42" s="238"/>
      <c r="B42" s="102" t="s">
        <v>360</v>
      </c>
      <c r="C42" s="102" t="s">
        <v>361</v>
      </c>
      <c r="D42" s="106" t="s">
        <v>145</v>
      </c>
    </row>
    <row r="43" spans="1:4" ht="15.75">
      <c r="A43" s="238"/>
      <c r="B43" s="102" t="s">
        <v>362</v>
      </c>
      <c r="C43" s="102" t="s">
        <v>363</v>
      </c>
      <c r="D43" s="106" t="s">
        <v>161</v>
      </c>
    </row>
    <row r="44" spans="1:4" ht="16.5" thickBot="1">
      <c r="A44" s="238"/>
      <c r="B44" s="107" t="s">
        <v>329</v>
      </c>
      <c r="C44" s="107" t="s">
        <v>330</v>
      </c>
      <c r="D44" s="108" t="s">
        <v>168</v>
      </c>
    </row>
    <row r="45" spans="1:4" ht="16.5" thickBot="1">
      <c r="A45" s="239"/>
      <c r="B45" s="107" t="s">
        <v>364</v>
      </c>
      <c r="C45" s="107" t="s">
        <v>365</v>
      </c>
      <c r="D45" s="108" t="s">
        <v>171</v>
      </c>
    </row>
    <row r="46" spans="1:4" ht="15" customHeight="1" thickBot="1"/>
    <row r="47" spans="1:4" ht="15" customHeight="1">
      <c r="A47" s="64" t="s">
        <v>324</v>
      </c>
      <c r="B47" s="65" t="s">
        <v>81</v>
      </c>
      <c r="C47" s="65" t="s">
        <v>82</v>
      </c>
      <c r="D47" s="66" t="s">
        <v>83</v>
      </c>
    </row>
    <row r="48" spans="1:4" ht="15" customHeight="1">
      <c r="A48" s="234" t="s">
        <v>395</v>
      </c>
      <c r="B48" s="102" t="s">
        <v>366</v>
      </c>
      <c r="C48" s="102" t="s">
        <v>367</v>
      </c>
      <c r="D48" s="103" t="s">
        <v>146</v>
      </c>
    </row>
    <row r="49" spans="1:4" ht="15" customHeight="1">
      <c r="A49" s="235"/>
      <c r="B49" s="102" t="s">
        <v>368</v>
      </c>
      <c r="C49" s="102" t="s">
        <v>369</v>
      </c>
      <c r="D49" s="103" t="s">
        <v>152</v>
      </c>
    </row>
    <row r="50" spans="1:4" ht="15" customHeight="1">
      <c r="A50" s="235"/>
      <c r="B50" s="102" t="s">
        <v>370</v>
      </c>
      <c r="C50" s="102" t="s">
        <v>371</v>
      </c>
      <c r="D50" s="103" t="s">
        <v>164</v>
      </c>
    </row>
    <row r="51" spans="1:4" ht="15" customHeight="1">
      <c r="A51" s="235"/>
      <c r="B51" s="102" t="s">
        <v>373</v>
      </c>
      <c r="C51" s="102" t="s">
        <v>374</v>
      </c>
      <c r="D51" s="103" t="s">
        <v>175</v>
      </c>
    </row>
    <row r="52" spans="1:4" ht="15" customHeight="1" thickBot="1">
      <c r="A52" s="236"/>
      <c r="B52" s="104" t="s">
        <v>375</v>
      </c>
      <c r="C52" s="104" t="s">
        <v>376</v>
      </c>
      <c r="D52" s="105" t="s">
        <v>173</v>
      </c>
    </row>
    <row r="53" spans="1:4" ht="15" customHeight="1" thickBot="1"/>
    <row r="54" spans="1:4" ht="15" customHeight="1">
      <c r="A54" s="131" t="s">
        <v>325</v>
      </c>
      <c r="B54" s="132" t="s">
        <v>81</v>
      </c>
      <c r="C54" s="132" t="s">
        <v>82</v>
      </c>
      <c r="D54" s="133" t="s">
        <v>83</v>
      </c>
    </row>
    <row r="55" spans="1:4" ht="15" customHeight="1">
      <c r="A55" s="232" t="s">
        <v>396</v>
      </c>
      <c r="B55" s="129" t="s">
        <v>379</v>
      </c>
      <c r="C55" s="130" t="s">
        <v>380</v>
      </c>
      <c r="D55" s="134" t="s">
        <v>147</v>
      </c>
    </row>
    <row r="56" spans="1:4" ht="15" customHeight="1">
      <c r="A56" s="232"/>
      <c r="B56" s="128" t="s">
        <v>381</v>
      </c>
      <c r="C56" s="127" t="s">
        <v>382</v>
      </c>
      <c r="D56" s="135" t="s">
        <v>157</v>
      </c>
    </row>
    <row r="57" spans="1:4" ht="15" customHeight="1">
      <c r="A57" s="232"/>
      <c r="B57" s="128" t="s">
        <v>383</v>
      </c>
      <c r="C57" s="127" t="s">
        <v>384</v>
      </c>
      <c r="D57" s="135" t="s">
        <v>170</v>
      </c>
    </row>
    <row r="58" spans="1:4" ht="15" customHeight="1">
      <c r="A58" s="232"/>
      <c r="B58" s="128" t="s">
        <v>385</v>
      </c>
      <c r="C58" s="127" t="s">
        <v>386</v>
      </c>
      <c r="D58" s="135" t="s">
        <v>167</v>
      </c>
    </row>
    <row r="59" spans="1:4" ht="15" customHeight="1" thickBot="1">
      <c r="A59" s="233"/>
      <c r="B59" s="136" t="s">
        <v>341</v>
      </c>
      <c r="C59" s="137" t="s">
        <v>342</v>
      </c>
      <c r="D59" s="138" t="s">
        <v>141</v>
      </c>
    </row>
  </sheetData>
  <mergeCells count="9">
    <mergeCell ref="A55:A59"/>
    <mergeCell ref="A48:A52"/>
    <mergeCell ref="A40:A45"/>
    <mergeCell ref="A32:A37"/>
    <mergeCell ref="A1:D1"/>
    <mergeCell ref="A3:A7"/>
    <mergeCell ref="A10:A15"/>
    <mergeCell ref="A18:A22"/>
    <mergeCell ref="A25:A29"/>
  </mergeCells>
  <hyperlinks>
    <hyperlink ref="D3" r:id="rId1" xr:uid="{FA945836-C25F-4474-8842-6571893ABEC3}"/>
    <hyperlink ref="D4" r:id="rId2" xr:uid="{6E1C56CC-CA91-4A7D-B592-E1B9C9098D30}"/>
    <hyperlink ref="D10" r:id="rId3" xr:uid="{E044BE2E-EDE6-4C49-BD08-68016997D2D0}"/>
    <hyperlink ref="D11" r:id="rId4" xr:uid="{3BDE9A02-7555-442E-8500-DE5919B9D7EB}"/>
    <hyperlink ref="D12" r:id="rId5" xr:uid="{E53E26B9-D0B4-43B3-A701-68C6F6488A87}"/>
    <hyperlink ref="D13" r:id="rId6" xr:uid="{BD6C241A-DB86-4627-B0EF-931A5257E4D9}"/>
    <hyperlink ref="D15" r:id="rId7" xr:uid="{B42E3AFE-1346-4EBA-9FCA-66D78FB7217E}"/>
    <hyperlink ref="D5" r:id="rId8" xr:uid="{4A1904B0-0837-40AC-886C-126483D63A70}"/>
    <hyperlink ref="D14" r:id="rId9" xr:uid="{8321574D-7D23-4A05-92C9-160CD0B8ACE9}"/>
    <hyperlink ref="D6" r:id="rId10" xr:uid="{2A4DF6B5-BA8F-4F56-BFE1-EFC545BB1594}"/>
    <hyperlink ref="D18" r:id="rId11" xr:uid="{964213CC-07CC-4B47-BCAB-1370BA00AAF5}"/>
    <hyperlink ref="D19" r:id="rId12" xr:uid="{B1EF7D96-77A9-44AC-B16D-C354E3640519}"/>
    <hyperlink ref="D20" r:id="rId13" xr:uid="{EC7FEAF6-BB41-4237-BBC2-40ACEE5B786B}"/>
    <hyperlink ref="D21" r:id="rId14" xr:uid="{9C7C42C9-2045-45E5-BDAC-C65956E9F6E4}"/>
    <hyperlink ref="D22" r:id="rId15" xr:uid="{7BE497B2-6E69-4079-81B4-F054D6AE07C4}"/>
    <hyperlink ref="D26" r:id="rId16" xr:uid="{A1A48D59-F2B9-41CD-8FD5-125DD1EA3212}"/>
    <hyperlink ref="D27" r:id="rId17" xr:uid="{01687FD7-212E-4802-A412-D3C50A259335}"/>
    <hyperlink ref="D32" r:id="rId18" xr:uid="{EACDCE6F-98D3-473A-A8F9-4BBD9391E7DB}"/>
    <hyperlink ref="D33" r:id="rId19" xr:uid="{33EFEE3A-B1E9-4248-9337-90CE07A295C5}"/>
    <hyperlink ref="D34" r:id="rId20" xr:uid="{AD014318-C42D-479D-837F-7BBFF8F826FB}"/>
    <hyperlink ref="D35" r:id="rId21" xr:uid="{FE1116B9-B2DC-4A0D-ABB3-3FAD34177EC4}"/>
    <hyperlink ref="D37" r:id="rId22" xr:uid="{EA0EA8A5-9C92-4C72-9232-8F46D1A08C54}"/>
    <hyperlink ref="D36" r:id="rId23" xr:uid="{2BAA34A2-BAA0-4F7C-A76D-8B4359E7C239}"/>
    <hyperlink ref="D40" r:id="rId24" xr:uid="{870CA7D1-8E2B-45A2-B7D6-4C0EF875AA7F}"/>
    <hyperlink ref="D41" r:id="rId25" xr:uid="{07655426-380F-4DAD-AEEA-D2C99DAA3A7F}"/>
    <hyperlink ref="D42" r:id="rId26" xr:uid="{EEBFFFA2-7EE8-41A8-B0EA-548EC4475ACA}"/>
    <hyperlink ref="D43" r:id="rId27" xr:uid="{86E530F8-0639-46FB-B7C9-F2CC1C721694}"/>
    <hyperlink ref="D45" r:id="rId28" xr:uid="{EB130206-CFEB-4F08-B9EB-1E2218BC612D}"/>
    <hyperlink ref="D48" r:id="rId29" xr:uid="{1372A47D-5294-49B2-9E86-9263DBCB8A79}"/>
    <hyperlink ref="D49" r:id="rId30" xr:uid="{93C4E54F-51EC-42B0-9168-3926F106A626}"/>
    <hyperlink ref="D50" r:id="rId31" xr:uid="{9C492039-89E6-4188-89F3-796B213CB3F1}"/>
    <hyperlink ref="D51" r:id="rId32" xr:uid="{938670DE-1EEF-4BE5-B961-33FEA70EF563}"/>
    <hyperlink ref="D52" r:id="rId33" xr:uid="{9708D7B0-A5BC-4265-9D11-044C934F0764}"/>
    <hyperlink ref="D55" r:id="rId34" xr:uid="{D801412C-B724-449A-BB32-29DD637F4153}"/>
    <hyperlink ref="D56" r:id="rId35" xr:uid="{63727A0C-041A-4610-83C1-63EA67893724}"/>
    <hyperlink ref="D57" r:id="rId36" xr:uid="{7A598051-6611-4F67-9089-5FCC5BE17C1D}"/>
    <hyperlink ref="D58" r:id="rId37" xr:uid="{DA682355-A7A3-42F2-8BAB-32C22B22C5DE}"/>
    <hyperlink ref="D44" r:id="rId38" xr:uid="{A227795A-788A-466E-87F8-721FA484AD30}"/>
    <hyperlink ref="D59" r:id="rId39" xr:uid="{1B96B85C-4FCF-483A-A32B-7A6FC7744E5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ASISTENCIA </vt:lpstr>
      <vt:lpstr>BASE DE DATOS</vt:lpstr>
      <vt:lpstr>GRUPOS DE PROYECTO</vt:lpstr>
      <vt:lpstr>DIAS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cp:keywords/>
  <dc:description/>
  <cp:lastModifiedBy>Carlos Salcedo</cp:lastModifiedBy>
  <cp:revision/>
  <dcterms:created xsi:type="dcterms:W3CDTF">2026-03-13T13:52:24Z</dcterms:created>
  <dcterms:modified xsi:type="dcterms:W3CDTF">2026-05-11T15:32:02Z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2026-03-13T13:58:38Z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23f5a3b5-ad31-4650-9219-9d8489a3642e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