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D0489370-6B8D-48D7-A646-6BA8C5C2906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8" i="1" l="1"/>
  <c r="H38" i="1"/>
  <c r="I38" i="1"/>
  <c r="J38" i="1"/>
  <c r="K38" i="1"/>
  <c r="L38" i="1"/>
  <c r="M38" i="1"/>
  <c r="N38" i="1"/>
  <c r="G39" i="1"/>
  <c r="H39" i="1"/>
  <c r="I39" i="1"/>
  <c r="J39" i="1"/>
  <c r="K39" i="1"/>
  <c r="L39" i="1"/>
  <c r="M39" i="1"/>
  <c r="N39" i="1"/>
  <c r="G40" i="1"/>
  <c r="H40" i="1"/>
  <c r="I40" i="1"/>
  <c r="J40" i="1"/>
  <c r="K40" i="1"/>
  <c r="L40" i="1"/>
  <c r="M40" i="1"/>
  <c r="N40" i="1"/>
  <c r="G41" i="1"/>
  <c r="H41" i="1"/>
  <c r="O41" i="1" s="1"/>
  <c r="I41" i="1"/>
  <c r="J41" i="1"/>
  <c r="K41" i="1"/>
  <c r="L41" i="1"/>
  <c r="M41" i="1"/>
  <c r="N41" i="1"/>
  <c r="G42" i="1"/>
  <c r="H42" i="1"/>
  <c r="I42" i="1"/>
  <c r="F42" i="1" s="1"/>
  <c r="J42" i="1"/>
  <c r="K42" i="1"/>
  <c r="L42" i="1"/>
  <c r="M42" i="1"/>
  <c r="N42" i="1"/>
  <c r="G43" i="1"/>
  <c r="H43" i="1"/>
  <c r="I43" i="1"/>
  <c r="F43" i="1" s="1"/>
  <c r="J43" i="1"/>
  <c r="K43" i="1"/>
  <c r="L43" i="1"/>
  <c r="M43" i="1"/>
  <c r="N43" i="1"/>
  <c r="F38" i="1"/>
  <c r="F39" i="1"/>
  <c r="F41" i="1"/>
  <c r="A11" i="1"/>
  <c r="A12" i="1"/>
  <c r="A13" i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10" i="1"/>
  <c r="B38" i="1"/>
  <c r="C38" i="1"/>
  <c r="D38" i="1"/>
  <c r="B39" i="1"/>
  <c r="C39" i="1"/>
  <c r="D39" i="1"/>
  <c r="B40" i="1"/>
  <c r="C40" i="1"/>
  <c r="D40" i="1"/>
  <c r="F40" i="1"/>
  <c r="B41" i="1"/>
  <c r="C41" i="1"/>
  <c r="D41" i="1"/>
  <c r="B42" i="1"/>
  <c r="C42" i="1"/>
  <c r="D42" i="1"/>
  <c r="B43" i="1"/>
  <c r="C43" i="1"/>
  <c r="D43" i="1"/>
  <c r="B9" i="1"/>
  <c r="C9" i="1"/>
  <c r="D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37" i="1"/>
  <c r="DV37" i="1"/>
  <c r="M37" i="1" s="1"/>
  <c r="N37" i="1"/>
  <c r="L37" i="1"/>
  <c r="K37" i="1"/>
  <c r="J37" i="1"/>
  <c r="I37" i="1"/>
  <c r="F37" i="1" s="1"/>
  <c r="H37" i="1"/>
  <c r="G37" i="1"/>
  <c r="D37" i="1"/>
  <c r="C37" i="1"/>
  <c r="B37" i="1"/>
  <c r="DW36" i="1"/>
  <c r="DV36" i="1"/>
  <c r="N36" i="1"/>
  <c r="L36" i="1"/>
  <c r="K36" i="1"/>
  <c r="J36" i="1"/>
  <c r="I36" i="1"/>
  <c r="F36" i="1" s="1"/>
  <c r="H36" i="1"/>
  <c r="G36" i="1"/>
  <c r="D36" i="1"/>
  <c r="B36" i="1"/>
  <c r="DW35" i="1"/>
  <c r="DV35" i="1"/>
  <c r="M35" i="1" s="1"/>
  <c r="N35" i="1"/>
  <c r="L35" i="1"/>
  <c r="K35" i="1"/>
  <c r="J35" i="1"/>
  <c r="I35" i="1"/>
  <c r="F35" i="1" s="1"/>
  <c r="H35" i="1"/>
  <c r="G35" i="1"/>
  <c r="D35" i="1"/>
  <c r="C35" i="1"/>
  <c r="B35" i="1"/>
  <c r="DW34" i="1"/>
  <c r="DV34" i="1"/>
  <c r="N34" i="1"/>
  <c r="L34" i="1"/>
  <c r="K34" i="1"/>
  <c r="J34" i="1"/>
  <c r="I34" i="1"/>
  <c r="F34" i="1" s="1"/>
  <c r="H34" i="1"/>
  <c r="G34" i="1"/>
  <c r="D34" i="1"/>
  <c r="C34" i="1"/>
  <c r="B34" i="1"/>
  <c r="DW33" i="1"/>
  <c r="M33" i="1" s="1"/>
  <c r="DV33" i="1"/>
  <c r="N33" i="1"/>
  <c r="L33" i="1"/>
  <c r="K33" i="1"/>
  <c r="J33" i="1"/>
  <c r="I33" i="1"/>
  <c r="F33" i="1" s="1"/>
  <c r="H33" i="1"/>
  <c r="G33" i="1"/>
  <c r="D33" i="1"/>
  <c r="C33" i="1"/>
  <c r="B33" i="1"/>
  <c r="DW32" i="1"/>
  <c r="DV32" i="1"/>
  <c r="M32" i="1" s="1"/>
  <c r="N32" i="1"/>
  <c r="L32" i="1"/>
  <c r="K32" i="1"/>
  <c r="J32" i="1"/>
  <c r="I32" i="1"/>
  <c r="F32" i="1" s="1"/>
  <c r="H32" i="1"/>
  <c r="G32" i="1"/>
  <c r="D32" i="1"/>
  <c r="C32" i="1"/>
  <c r="B32" i="1"/>
  <c r="DW31" i="1"/>
  <c r="DV31" i="1"/>
  <c r="M31" i="1" s="1"/>
  <c r="N31" i="1"/>
  <c r="L31" i="1"/>
  <c r="K31" i="1"/>
  <c r="J31" i="1"/>
  <c r="I31" i="1"/>
  <c r="F31" i="1" s="1"/>
  <c r="H31" i="1"/>
  <c r="G31" i="1"/>
  <c r="D31" i="1"/>
  <c r="C31" i="1"/>
  <c r="B31" i="1"/>
  <c r="DW30" i="1"/>
  <c r="DV30" i="1"/>
  <c r="N30" i="1"/>
  <c r="L30" i="1"/>
  <c r="K30" i="1"/>
  <c r="J30" i="1"/>
  <c r="I30" i="1"/>
  <c r="F30" i="1" s="1"/>
  <c r="H30" i="1"/>
  <c r="G30" i="1"/>
  <c r="D30" i="1"/>
  <c r="C30" i="1"/>
  <c r="B30" i="1"/>
  <c r="DW29" i="1"/>
  <c r="DV29" i="1"/>
  <c r="N29" i="1"/>
  <c r="M29" i="1"/>
  <c r="L29" i="1"/>
  <c r="K29" i="1"/>
  <c r="J29" i="1"/>
  <c r="I29" i="1"/>
  <c r="F29" i="1" s="1"/>
  <c r="H29" i="1"/>
  <c r="G29" i="1"/>
  <c r="D29" i="1"/>
  <c r="C29" i="1"/>
  <c r="B29" i="1"/>
  <c r="DW28" i="1"/>
  <c r="DV28" i="1"/>
  <c r="M28" i="1" s="1"/>
  <c r="N28" i="1"/>
  <c r="L28" i="1"/>
  <c r="K28" i="1"/>
  <c r="J28" i="1"/>
  <c r="I28" i="1"/>
  <c r="F28" i="1" s="1"/>
  <c r="H28" i="1"/>
  <c r="G28" i="1"/>
  <c r="D28" i="1"/>
  <c r="C28" i="1"/>
  <c r="B28" i="1"/>
  <c r="DW27" i="1"/>
  <c r="DV27" i="1"/>
  <c r="M27" i="1" s="1"/>
  <c r="N27" i="1"/>
  <c r="L27" i="1"/>
  <c r="K27" i="1"/>
  <c r="J27" i="1"/>
  <c r="I27" i="1"/>
  <c r="F27" i="1" s="1"/>
  <c r="H27" i="1"/>
  <c r="G27" i="1"/>
  <c r="D27" i="1"/>
  <c r="C27" i="1"/>
  <c r="B27" i="1"/>
  <c r="DW26" i="1"/>
  <c r="DV26" i="1"/>
  <c r="N26" i="1"/>
  <c r="L26" i="1"/>
  <c r="K26" i="1"/>
  <c r="J26" i="1"/>
  <c r="I26" i="1"/>
  <c r="F26" i="1" s="1"/>
  <c r="H26" i="1"/>
  <c r="G26" i="1"/>
  <c r="D26" i="1"/>
  <c r="C26" i="1"/>
  <c r="B26" i="1"/>
  <c r="DW25" i="1"/>
  <c r="DV25" i="1"/>
  <c r="M25" i="1" s="1"/>
  <c r="N25" i="1"/>
  <c r="L25" i="1"/>
  <c r="K25" i="1"/>
  <c r="J25" i="1"/>
  <c r="I25" i="1"/>
  <c r="F25" i="1" s="1"/>
  <c r="H25" i="1"/>
  <c r="G25" i="1"/>
  <c r="D25" i="1"/>
  <c r="C25" i="1"/>
  <c r="B25" i="1"/>
  <c r="DW24" i="1"/>
  <c r="DV24" i="1"/>
  <c r="N24" i="1"/>
  <c r="L24" i="1"/>
  <c r="K24" i="1"/>
  <c r="J24" i="1"/>
  <c r="I24" i="1"/>
  <c r="F24" i="1" s="1"/>
  <c r="H24" i="1"/>
  <c r="G24" i="1"/>
  <c r="D24" i="1"/>
  <c r="C24" i="1"/>
  <c r="B24" i="1"/>
  <c r="DW23" i="1"/>
  <c r="DV23" i="1"/>
  <c r="N23" i="1"/>
  <c r="L23" i="1"/>
  <c r="K23" i="1"/>
  <c r="J23" i="1"/>
  <c r="I23" i="1"/>
  <c r="F23" i="1" s="1"/>
  <c r="H23" i="1"/>
  <c r="G23" i="1"/>
  <c r="D23" i="1"/>
  <c r="C23" i="1"/>
  <c r="B23" i="1"/>
  <c r="DW22" i="1"/>
  <c r="DV22" i="1"/>
  <c r="N22" i="1"/>
  <c r="L22" i="1"/>
  <c r="K22" i="1"/>
  <c r="J22" i="1"/>
  <c r="I22" i="1"/>
  <c r="F22" i="1" s="1"/>
  <c r="H22" i="1"/>
  <c r="G22" i="1"/>
  <c r="D22" i="1"/>
  <c r="C22" i="1"/>
  <c r="B22" i="1"/>
  <c r="DW21" i="1"/>
  <c r="M21" i="1" s="1"/>
  <c r="DV21" i="1"/>
  <c r="N21" i="1"/>
  <c r="L21" i="1"/>
  <c r="K21" i="1"/>
  <c r="J21" i="1"/>
  <c r="I21" i="1"/>
  <c r="F21" i="1" s="1"/>
  <c r="H21" i="1"/>
  <c r="G21" i="1"/>
  <c r="D21" i="1"/>
  <c r="C21" i="1"/>
  <c r="B21" i="1"/>
  <c r="DW20" i="1"/>
  <c r="DV20" i="1"/>
  <c r="M20" i="1" s="1"/>
  <c r="N20" i="1"/>
  <c r="L20" i="1"/>
  <c r="K20" i="1"/>
  <c r="J20" i="1"/>
  <c r="I20" i="1"/>
  <c r="F20" i="1" s="1"/>
  <c r="H20" i="1"/>
  <c r="G20" i="1"/>
  <c r="D20" i="1"/>
  <c r="C20" i="1"/>
  <c r="B20" i="1"/>
  <c r="DW19" i="1"/>
  <c r="DV19" i="1"/>
  <c r="M19" i="1" s="1"/>
  <c r="N19" i="1"/>
  <c r="L19" i="1"/>
  <c r="K19" i="1"/>
  <c r="J19" i="1"/>
  <c r="I19" i="1"/>
  <c r="F19" i="1" s="1"/>
  <c r="H19" i="1"/>
  <c r="G19" i="1"/>
  <c r="D19" i="1"/>
  <c r="C19" i="1"/>
  <c r="B19" i="1"/>
  <c r="DW18" i="1"/>
  <c r="DV18" i="1"/>
  <c r="N18" i="1"/>
  <c r="L18" i="1"/>
  <c r="K18" i="1"/>
  <c r="J18" i="1"/>
  <c r="I18" i="1"/>
  <c r="F18" i="1" s="1"/>
  <c r="H18" i="1"/>
  <c r="G18" i="1"/>
  <c r="D18" i="1"/>
  <c r="C18" i="1"/>
  <c r="B18" i="1"/>
  <c r="DW17" i="1"/>
  <c r="DV17" i="1"/>
  <c r="M17" i="1" s="1"/>
  <c r="N17" i="1"/>
  <c r="L17" i="1"/>
  <c r="K17" i="1"/>
  <c r="J17" i="1"/>
  <c r="I17" i="1"/>
  <c r="F17" i="1" s="1"/>
  <c r="H17" i="1"/>
  <c r="G17" i="1"/>
  <c r="D17" i="1"/>
  <c r="C17" i="1"/>
  <c r="B17" i="1"/>
  <c r="DW16" i="1"/>
  <c r="DV16" i="1"/>
  <c r="M16" i="1" s="1"/>
  <c r="N16" i="1"/>
  <c r="L16" i="1"/>
  <c r="K16" i="1"/>
  <c r="J16" i="1"/>
  <c r="I16" i="1"/>
  <c r="F16" i="1" s="1"/>
  <c r="H16" i="1"/>
  <c r="G16" i="1"/>
  <c r="D16" i="1"/>
  <c r="C16" i="1"/>
  <c r="B16" i="1"/>
  <c r="DW15" i="1"/>
  <c r="DV15" i="1"/>
  <c r="M15" i="1" s="1"/>
  <c r="N15" i="1"/>
  <c r="L15" i="1"/>
  <c r="K15" i="1"/>
  <c r="J15" i="1"/>
  <c r="I15" i="1"/>
  <c r="F15" i="1" s="1"/>
  <c r="H15" i="1"/>
  <c r="G15" i="1"/>
  <c r="D15" i="1"/>
  <c r="C15" i="1"/>
  <c r="B15" i="1"/>
  <c r="DW14" i="1"/>
  <c r="DV14" i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DW9" i="1"/>
  <c r="M9" i="1" s="1"/>
  <c r="DV9" i="1"/>
  <c r="N9" i="1"/>
  <c r="L9" i="1"/>
  <c r="K9" i="1"/>
  <c r="J9" i="1"/>
  <c r="I9" i="1"/>
  <c r="F9" i="1" s="1"/>
  <c r="H9" i="1"/>
  <c r="G9" i="1"/>
  <c r="F7" i="1"/>
  <c r="D7" i="1"/>
  <c r="F6" i="1"/>
  <c r="D6" i="1"/>
  <c r="D5" i="1"/>
  <c r="O43" i="1" l="1"/>
  <c r="O38" i="1"/>
  <c r="O42" i="1"/>
  <c r="O40" i="1"/>
  <c r="O39" i="1"/>
  <c r="M11" i="1"/>
  <c r="M12" i="1"/>
  <c r="M23" i="1"/>
  <c r="M24" i="1"/>
  <c r="M10" i="1"/>
  <c r="M14" i="1"/>
  <c r="M18" i="1"/>
  <c r="M22" i="1"/>
  <c r="M26" i="1"/>
  <c r="M30" i="1"/>
  <c r="M34" i="1"/>
  <c r="M36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9" authorId="0" shapeId="0" xr:uid="{CB31A614-A2E7-494F-8521-646B5FC609BB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23" authorId="0" shapeId="0" xr:uid="{43794951-C47D-42C8-8846-C58C91C980E7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2" authorId="0" shapeId="0" xr:uid="{9CDDA767-78B5-4610-847E-E3A4DE1ED140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4" authorId="0" shapeId="0" xr:uid="{050B38BC-B496-4B5E-BE22-EBCED19E93F8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36" authorId="0" shapeId="0" xr:uid="{E2BE8C91-D309-4AF3-875E-EFA494A0E614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0" authorId="0" shapeId="0" xr:uid="{D8ABE644-A273-4804-A68C-1635A5E838A3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  <comment ref="K45" authorId="0" shapeId="0" xr:uid="{A37DD368-B557-4C79-812A-A2B921496C4C}">
      <text>
        <r>
          <rPr>
            <sz val="10"/>
            <color rgb="FF000000"/>
            <rFont val="Calibri"/>
            <family val="2"/>
            <scheme val="minor"/>
          </rPr>
          <t>La persona que ha respondido ha actualizado este valor.</t>
        </r>
      </text>
    </comment>
  </commentList>
</comments>
</file>

<file path=xl/sharedStrings.xml><?xml version="1.0" encoding="utf-8"?>
<sst xmlns="http://schemas.openxmlformats.org/spreadsheetml/2006/main" count="491" uniqueCount="290">
  <si>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</si>
  <si>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</si>
  <si>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</si>
  <si>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</si>
  <si>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</si>
  <si>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</si>
  <si>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MARKETING DIGITAL</t>
  </si>
  <si>
    <t>COMPETENCIAS</t>
  </si>
  <si>
    <t>INSTRUCTOR SENA:</t>
  </si>
  <si>
    <t>MANUEL YAYA / CARLOS RUIZ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</si>
  <si>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</si>
  <si>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</si>
  <si>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</si>
  <si>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</si>
  <si>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</si>
  <si>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</si>
  <si>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</si>
  <si>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</si>
  <si>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</si>
  <si>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</si>
  <si>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</si>
  <si>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</si>
  <si>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</si>
  <si>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</si>
  <si>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</si>
  <si>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</si>
  <si>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</si>
  <si>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</si>
  <si>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</si>
  <si>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</si>
  <si>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</si>
  <si>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</si>
  <si>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</si>
  <si>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</si>
  <si>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</si>
  <si>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</si>
  <si>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</si>
  <si>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</si>
  <si>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</si>
  <si>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</si>
  <si>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</si>
  <si>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</si>
  <si>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</si>
  <si>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</si>
  <si>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</si>
  <si>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</si>
  <si>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</si>
  <si>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</si>
  <si>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</si>
  <si>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</si>
  <si>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</si>
  <si>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</si>
  <si>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</si>
  <si>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</si>
  <si>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</si>
  <si>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</si>
  <si>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</si>
  <si>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</si>
  <si>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</si>
  <si>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</si>
  <si>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NO MATRICULADO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</si>
  <si>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</si>
  <si>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</si>
  <si>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</si>
  <si>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</si>
  <si>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</si>
  <si>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</si>
  <si>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</si>
  <si>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</si>
  <si>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</si>
  <si>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</si>
  <si>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</si>
  <si>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</si>
  <si>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</si>
  <si>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</si>
  <si>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</si>
  <si>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</si>
  <si>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</si>
  <si>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</si>
  <si>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</si>
  <si>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</si>
  <si>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</si>
  <si>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</si>
  <si>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</si>
  <si>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</si>
  <si>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</si>
  <si>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>NOMBRE DEL GRUPO</t>
  </si>
  <si>
    <t xml:space="preserve">N° 2 </t>
  </si>
  <si>
    <t xml:space="preserve">N° 3 </t>
  </si>
  <si>
    <t xml:space="preserve">N° 4 </t>
  </si>
  <si>
    <t>N° 5</t>
  </si>
  <si>
    <t>N° 6</t>
  </si>
  <si>
    <t>TI</t>
  </si>
  <si>
    <t>Nombre</t>
  </si>
  <si>
    <t>Correo_Acudiente</t>
  </si>
  <si>
    <t>ID_Drive</t>
  </si>
  <si>
    <t>Tipo de documento</t>
  </si>
  <si>
    <t>OSCAR DAVID MURIEL CERQUERA - CARLOS ALBERTO SALCEDO DURAN</t>
  </si>
  <si>
    <t>omuriel@sena.edu.co - csalcedo@sena.edu.co</t>
  </si>
  <si>
    <t>COLEGIO TOMAS CIPRIANO DE MOSQUERA (IED)</t>
  </si>
  <si>
    <t>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</t>
  </si>
  <si>
    <t>EMILY ALEXANDRA AGUILAR CASTELLANOS</t>
  </si>
  <si>
    <t>caste24emily@gmail.com</t>
  </si>
  <si>
    <t>Diana Carolina Castellanos Triana</t>
  </si>
  <si>
    <t>dcastetriana@gmail.com</t>
  </si>
  <si>
    <t>https://drive.google.com/drive/folders/1Ey2OXzQ-36kC0hbd8mRB0-3nF6ohDEa1</t>
  </si>
  <si>
    <t>ALISON DAYANNA AGUILAR CASTELLANOS</t>
  </si>
  <si>
    <t>alison24caste@gmail.com</t>
  </si>
  <si>
    <t>https://drive.google.com/drive/folders/1kIYr5vKcwdaSTEe86fpVgNuq14Yhe8p5</t>
  </si>
  <si>
    <t>ISABEL SOFIA ARIZA PEERPIÑAN</t>
  </si>
  <si>
    <t>arizaisabel897@gmail.com</t>
  </si>
  <si>
    <t>Rosio Esther Perpiñan Rueda</t>
  </si>
  <si>
    <t>arizajuliana0@gmail.com</t>
  </si>
  <si>
    <t>https://drive.google.com/drive/folders/133WEJliAoA3jM3Zkt9g1HAQVseDs9MTO</t>
  </si>
  <si>
    <t>SANTIAGO BENAVIDES BENAVIDES</t>
  </si>
  <si>
    <t>chichebenavides@gmail.com</t>
  </si>
  <si>
    <t>BEATRIZ BENAVIDES BENAVIDES</t>
  </si>
  <si>
    <t>BETTYBENA2473@GMAIL.COM</t>
  </si>
  <si>
    <t>https://drive.google.com/drive/folders/1W81U6wPwKEckJdx-dtaKMpc4iKWyOQOW?usp=sharing</t>
  </si>
  <si>
    <t>NICOL DAYANA BENJUMEA LOPEZ</t>
  </si>
  <si>
    <t>benjumeanicol506@gmail.com</t>
  </si>
  <si>
    <t>Uveni Lopez Ospina</t>
  </si>
  <si>
    <t>uvenilopez1979@gmail.com</t>
  </si>
  <si>
    <t>https://drive.google.com/drive/folders/1zzk85l77kDJ3UFzojwMtu1tA5UnG3g1q?usp=sharing</t>
  </si>
  <si>
    <t>ANDRES FELIPE CABRERA ZAMORA</t>
  </si>
  <si>
    <t>CC</t>
  </si>
  <si>
    <t>cabreraandres273@gmail.com</t>
  </si>
  <si>
    <t>María Astrid Zamora Olaya</t>
  </si>
  <si>
    <t>Zamoradaniel3@gmail.com</t>
  </si>
  <si>
    <t>https://drive.google.com/drive/folders/1Rql2fyFLX-9FCBssKN0Fioih3ILoNWsH</t>
  </si>
  <si>
    <t>YULIETH VALENTINA CAICEDO SALCEDO</t>
  </si>
  <si>
    <t>caicedovalentina426@gmail.com</t>
  </si>
  <si>
    <t>Clara yamile salcedo martinez</t>
  </si>
  <si>
    <t>ncaicedo038@gmail.com</t>
  </si>
  <si>
    <t>https://drive.google.com/drive/folders/1OQCbGeop74FCv-9U-_IsRaHdpI3JArQ3</t>
  </si>
  <si>
    <t>MARIANA SOFIA CANGREJO CRUZ</t>
  </si>
  <si>
    <t>mariu.cruz7855@gmail.com</t>
  </si>
  <si>
    <t>Yudy Marisela Cangrejo Cruz</t>
  </si>
  <si>
    <t>ycrangrejocruz@gmail.com</t>
  </si>
  <si>
    <t>https://drive.google.com/drive/folders/1_X8L4tGD0hUMnw_7pcM_MBW83A8-UOS8?usp=sharing</t>
  </si>
  <si>
    <t>LAURA VALENTINA CAPACHO SALAZAR</t>
  </si>
  <si>
    <t>monaflaca2011a@gmail.com</t>
  </si>
  <si>
    <t>Lili Salazar Ochoa</t>
  </si>
  <si>
    <t>https://drive.google.com/drive/folders/1oNg4dpgS6iZrsyWnWTHwHn1zhYPncjEg?usp=sharing</t>
  </si>
  <si>
    <t>ALLISON SARITH CHAPPARRO VARGAS</t>
  </si>
  <si>
    <t>chaparrovargasallisonsarith@gmail.com</t>
  </si>
  <si>
    <t>Martha Yaneth Vargas Medina</t>
  </si>
  <si>
    <t>marthaavargas77@gmail.com</t>
  </si>
  <si>
    <t>https://drive.google.com/drive/folders/1SHnMuDeAdvIdHtOw2nqZL1Zv0V4_53jt</t>
  </si>
  <si>
    <t>JULIAN DAVID CHAVES CASTAÑEDA</t>
  </si>
  <si>
    <t>chavesjulian875@gmail.com</t>
  </si>
  <si>
    <t>Milton David Chaves Ochoa</t>
  </si>
  <si>
    <t>miltonchaves1990@gmail.com</t>
  </si>
  <si>
    <t>https://drive.google.com/drive/folders/1fL7l_SHmHtH6EHKHacLlnAxe2UJqEoko?usp=sharing</t>
  </si>
  <si>
    <t>SANTIAGO DELGADO ROMERO</t>
  </si>
  <si>
    <t>santiagodelgadoromero12@gmail.com</t>
  </si>
  <si>
    <t>MARTHA LUCIA ROMERO RUEDA</t>
  </si>
  <si>
    <t>martharome14@gmail.com</t>
  </si>
  <si>
    <t>https://drive.google.com/drive/folders/1bBsqlyou1RJBEkOMqRz4rClqhUtrDIWK?usp=sharing</t>
  </si>
  <si>
    <t>DANIELA DIAZ CLAVIJO</t>
  </si>
  <si>
    <t>daniela.diaz806@educacionbogota.edu.co</t>
  </si>
  <si>
    <t>marta lucia Clavijo rubiano</t>
  </si>
  <si>
    <t>lufedaju@hotmail.com</t>
  </si>
  <si>
    <t>https://internoredpedu-my.sharepoint.com/:f:/g/personal/daniela_diaz806_educacionbogota_edu_co/IgCERO2HxQ6eQLR1jDzExpK4AXH9115Cz0d6cjBQktx__54?e=7s1jc6</t>
  </si>
  <si>
    <t>JULIANA DIAZ CLAVIJO</t>
  </si>
  <si>
    <t>juliana.diaz807@educacionbogota.edu.co</t>
  </si>
  <si>
    <t>Marta Lucia Clavijo</t>
  </si>
  <si>
    <t>luciaclavijor@gmail.com</t>
  </si>
  <si>
    <t>https://internoredpedu-my.sharepoint.com/:f:/g/personal/juliana_diaz807_educacionbogota_edu_co/IgCXuFp6zmHaTpeGP-MtG1u3AQXGR32_PAjR1FXXm8IXl9A?e=aplUhK</t>
  </si>
  <si>
    <t>MARIANA ESPITIA DE LA CRUZ</t>
  </si>
  <si>
    <t>marianaespitiadelacruz@gmail.com</t>
  </si>
  <si>
    <t>diana luz de la cruz</t>
  </si>
  <si>
    <t>https://drive.google.com/file/d/1aoIhYbB26w6Zn8ZbkdwVz0OMU5qVpBA-/view?usp=sharing</t>
  </si>
  <si>
    <t>ANGIE LIZETH HERNANDEZ MARTINEZ</t>
  </si>
  <si>
    <t>angielizethhernandez5@gmail.com</t>
  </si>
  <si>
    <t>Jennifer tatiana Martínez Duarte</t>
  </si>
  <si>
    <t>Wilson.hernandezherreno50@gmail.con</t>
  </si>
  <si>
    <t>https://drive.google.com/drive/folders/1-0ukCNUd3HAvuKOVJQlQxzmZFMRssInA</t>
  </si>
  <si>
    <t>MARIA PAULA IBARRA SUAREZ</t>
  </si>
  <si>
    <t>Paulasuarez24202512@gmail.com</t>
  </si>
  <si>
    <t>Yenny andrea Suárez rincon</t>
  </si>
  <si>
    <t>suarezrinconyennyandreasuarez@gmail.com</t>
  </si>
  <si>
    <t>https://drive.google.com/drive/folders/1I-3OxNaznwWEYfZ_2lMECuZlTafAw1Hf</t>
  </si>
  <si>
    <t>JULIETH SOFIA MARTINEZ NUMPAQUE</t>
  </si>
  <si>
    <t>venusofia2006@gmail.com</t>
  </si>
  <si>
    <t>Maria Ayde Numpaque Sana</t>
  </si>
  <si>
    <t>aydenumpaque78@gmail.com</t>
  </si>
  <si>
    <t>https://drive.google.com/drive/folders/1FZwTN-urMlmRMo1CDeP0c8AVbUkifWoC?usp=sharing</t>
  </si>
  <si>
    <t>JUAN DAVID MARTINEZMARTINEZ</t>
  </si>
  <si>
    <t>d35267098@gmail.com</t>
  </si>
  <si>
    <t>Angelica Maria Martinez salgado</t>
  </si>
  <si>
    <t>Martínezsalgadoangelicamaria@gmail.com</t>
  </si>
  <si>
    <t>https://drive.google.com/drive/folders/1jm0__UZcVLVxVKr-hPkU3eTYSXSxqzgr</t>
  </si>
  <si>
    <t>JENNIFER ANDREA MATALLANA SANTAMARIA</t>
  </si>
  <si>
    <t>matallanasantamaria@gmail.com</t>
  </si>
  <si>
    <t>José Isaías Matallana Vargas</t>
  </si>
  <si>
    <t>matallanavargasjoseisais@gmail.com</t>
  </si>
  <si>
    <t>https://drive.google.com/drive/folders/1Ol3ymAls4QQ4muTF5baPpJkE2z9sMVTg</t>
  </si>
  <si>
    <t>JOHAN ALEJANDRO MURCIA QUIJANO</t>
  </si>
  <si>
    <t>johanmurciaq105@gmail.com</t>
  </si>
  <si>
    <t>Yeraldin Quijano Hurtado</t>
  </si>
  <si>
    <t>yeralmona26@gmail.com</t>
  </si>
  <si>
    <t>https://drive.google.com/drive/folders/1VZVLXZ3NBOnOEKf3TJaYUqvtS_2EcZ1u</t>
  </si>
  <si>
    <t>SARA VALENTINA NONTOA GÓMEZ</t>
  </si>
  <si>
    <t>nontoavalentinasara@gmail.com</t>
  </si>
  <si>
    <t>Natalia Rocio Gómez Gutierrez</t>
  </si>
  <si>
    <t>nataliar2062@gmail.com</t>
  </si>
  <si>
    <t>https://drive.google.com/drive/folders/1w0DRjvkzi_UaG47-PjCf5qNoWBeHWAWr?usp=sharing</t>
  </si>
  <si>
    <t>MARIA CAMILA ORTEGON PEREZ</t>
  </si>
  <si>
    <t>Ortegonperezmariacamila@gmail.com</t>
  </si>
  <si>
    <t>Gloria jeaneth perez sua</t>
  </si>
  <si>
    <t>gloriaperezsua08@gmail.com</t>
  </si>
  <si>
    <t>https://drive.google.com/drive/folders/1LTAocsMDRuL6vyWdQACHkj1Uvn19Xw4V</t>
  </si>
  <si>
    <t>ANTONY ORTIZ PALACIOS</t>
  </si>
  <si>
    <t>Antonyortizpalacios@gmail.com</t>
  </si>
  <si>
    <t>LUZ MARY</t>
  </si>
  <si>
    <t>Maryluzpalacios74@gmail.com</t>
  </si>
  <si>
    <t>https://drive.google.com/drive/folders/10wy1JZ47LBo-Mllr0WwiMO4IcQWsV78B</t>
  </si>
  <si>
    <t>VALENTINA OSPINA ORTIZ</t>
  </si>
  <si>
    <t>vale.ortiz2614@gmail.com</t>
  </si>
  <si>
    <t>patricia rodriguez estupiñan</t>
  </si>
  <si>
    <t>valealeja586@gmail.com</t>
  </si>
  <si>
    <t>https://drive.google.com/drive/folders/1_3wfvgDjj5E7lhjfNzlS6UW7MP2lxVGd?usp=sharing</t>
  </si>
  <si>
    <t>ANA SOFIA PATIÑO CASTRO</t>
  </si>
  <si>
    <t>Anafia3133@gmail.com</t>
  </si>
  <si>
    <t>Gloria Stella Castro Castro</t>
  </si>
  <si>
    <t>https://drive.google.com/drive/folders/1RZRdct1oY0ytmuKBrgDNTr3rnubssdTp</t>
  </si>
  <si>
    <t>KAROL SAMANTA PINZON GRANADOS</t>
  </si>
  <si>
    <t>karolsamantap@gmail.com</t>
  </si>
  <si>
    <t>July Andrea Pinzon Granados</t>
  </si>
  <si>
    <t>pinzonyuliandrea@gmail.com</t>
  </si>
  <si>
    <t>https://drive.google.com/drive/folders/1ULGR6dH3MV580c6xMGZExsHidn1cppAF?usp=sharing</t>
  </si>
  <si>
    <t>DANA VALENTINA QUIJANO CORONADO</t>
  </si>
  <si>
    <t>quijanodanavalentina@gmail.com</t>
  </si>
  <si>
    <t>Liliana Emilce Coronado Rodriguez</t>
  </si>
  <si>
    <t>lilianacoronado2018@gmail.com</t>
  </si>
  <si>
    <t>https://drive.google.com/drive/folders/1aMyTa-7vwOQVG96B3ZUPkJ572zqX1LDC?usp=sharing</t>
  </si>
  <si>
    <t>LINA SOFIA RAMIREZ DUARTE</t>
  </si>
  <si>
    <t>linasofiaramirez1406@gmail.com</t>
  </si>
  <si>
    <t>Yeimy Carolina Duarte Espitia</t>
  </si>
  <si>
    <t>yeimycarolina2011@hotmail.com</t>
  </si>
  <si>
    <t>https://drive.google.com/file/d/1Ff-Dgrh6Ys7Z4rn3yoPquYwFHY8mjtzM/view?usp=drivesdk</t>
  </si>
  <si>
    <t>JULIE ANDREA RIVERA LOZANO</t>
  </si>
  <si>
    <t>jariveralozano@gmail.com</t>
  </si>
  <si>
    <t>Myriam García gordillo</t>
  </si>
  <si>
    <t>https://drive.google.com/drive/folders/14QYdR02xU4niN6ltTLgUX5VPX__z_ZFw</t>
  </si>
  <si>
    <t>EMILY DAYAN RIVERA RODRIGUEZ</t>
  </si>
  <si>
    <t>emilydayanriverarodriguez@gmail.com</t>
  </si>
  <si>
    <t>LIZETH ANDREA RODRIGUEZ FORERO</t>
  </si>
  <si>
    <t>lizandreitarofo25@gmail.com</t>
  </si>
  <si>
    <t>https://drive.google.com/drive/folders/1wbx803zkiRfqk5JlapRxvAoa_homkt5h?usp=sharing</t>
  </si>
  <si>
    <t>ASTRID SARAY ROJAS HERRERA</t>
  </si>
  <si>
    <t>rojassaray924@gmail.com</t>
  </si>
  <si>
    <t>Yeni Alexandra Herrera Salcedo</t>
  </si>
  <si>
    <t>yenialexandrah@gmail.com</t>
  </si>
  <si>
    <t>https://drive.google.com/drive/folders/1Vh0G4HiRX5RP0RTF8EUAQdea63gvLha8</t>
  </si>
  <si>
    <t>VALERIA KATHERINE ROMERO RIAÑO</t>
  </si>
  <si>
    <t>katheromero969@gmail.com</t>
  </si>
  <si>
    <t>Yury Andrea Riaño Osorio</t>
  </si>
  <si>
    <t>rianoyury6@gmail.com</t>
  </si>
  <si>
    <t>https://drive.google.com/drive/folders/1j3650YjM2Y5TS0UDuoxjXOwBhDTQe8oP</t>
  </si>
  <si>
    <t>PAULA GABRIELA SALCEDO ALGECIRA</t>
  </si>
  <si>
    <t>paulagabrielasalcedoo@gmail.com</t>
  </si>
  <si>
    <t>Ronal Yesid Salcedo mora</t>
  </si>
  <si>
    <t>Ronalsalcedo30@hotmail.com</t>
  </si>
  <si>
    <t>https://drive.google.com/drive/folders/1TzwQ2SSA3TydSVr1WssjlQcDBsLafHmB</t>
  </si>
  <si>
    <t>STEFANNY SOFIA SANCHEZ DIVANTOQUE</t>
  </si>
  <si>
    <t>stefannysanchez280810@gmail.com</t>
  </si>
  <si>
    <t>Fabiola Divantoque</t>
  </si>
  <si>
    <t>fabioladivantoque280817@gmail.com</t>
  </si>
  <si>
    <t>https://drive.google.com/drive/folders/1wC54RtvpM9wX_tOP9-eI1lrBujTnOzpU</t>
  </si>
  <si>
    <t>SHARA TEJEDOR DURANGO</t>
  </si>
  <si>
    <t>LUIS ALEJANDRO TELLEZ VANEGAS</t>
  </si>
  <si>
    <t>alejotv0106@gmail.com</t>
  </si>
  <si>
    <t>Claudia Andrea Vanegas Delgado</t>
  </si>
  <si>
    <t>andreavanegas0625@gmail.com</t>
  </si>
  <si>
    <t>https://drive.google.com/file/d/1ARo8EH7bx5Wg3GYfvi9Z99Z_mCB2B6Bo/view?usp=sharing</t>
  </si>
  <si>
    <t>JUAN SEBASTIAN TIGUAQUE CASTRO</t>
  </si>
  <si>
    <t>juantiguaque@gmail.com</t>
  </si>
  <si>
    <t>Viviana Andrea Castro</t>
  </si>
  <si>
    <t>viviana.castro0325@gmail.com</t>
  </si>
  <si>
    <t>https://drive.google.com/drive/folders/12tV5VcGzQWZJswhg6uJpLcFtA1Ko1roA?usp=sharing</t>
  </si>
  <si>
    <t>Mal creada la carpeta en el DRIVE</t>
  </si>
  <si>
    <t xml:space="preserve">Cambiar a Editor </t>
  </si>
  <si>
    <t>Dar acceso a la carpeta como editor</t>
  </si>
  <si>
    <t>Link mal creado</t>
  </si>
  <si>
    <t xml:space="preserve">Cambiar a compartir como editor </t>
  </si>
  <si>
    <t>Cambiar a compartir como editor</t>
  </si>
  <si>
    <t xml:space="preserve">Autorizar permiso </t>
  </si>
  <si>
    <t>Camabiar a compartir como 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</si>
</sst>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0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Arial"/>
      <family val="2"/>
    </font>
    <font>
      <u/>
      <sz val="11"/>
      <color rgb="FF0563C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DDEBF7"/>
        <bgColor rgb="FFDDEBF7"/>
      </patternFill>
    </fill>
  </fills>
  <borders count="7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91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49" fillId="0" borderId="0" xfId="0" applyFont="1"/>
    <xf numFmtId="0" fontId="48" fillId="0" borderId="0" xfId="0" applyFont="1" applyAlignment="1">
      <alignment horizontal="center"/>
    </xf>
    <xf numFmtId="0" fontId="48" fillId="0" borderId="59" xfId="0" applyFont="1" applyBorder="1"/>
    <xf numFmtId="0" fontId="48" fillId="0" borderId="60" xfId="0" applyFont="1" applyBorder="1" applyAlignment="1">
      <alignment horizontal="center"/>
    </xf>
    <xf numFmtId="0" fontId="48" fillId="0" borderId="61" xfId="0" applyFont="1" applyBorder="1" applyAlignment="1">
      <alignment horizontal="center"/>
    </xf>
    <xf numFmtId="0" fontId="48" fillId="0" borderId="29" xfId="0" applyFont="1" applyBorder="1"/>
    <xf numFmtId="0" fontId="48" fillId="0" borderId="63" xfId="0" applyFont="1" applyBorder="1"/>
    <xf numFmtId="0" fontId="48" fillId="0" borderId="66" xfId="0" applyFont="1" applyBorder="1"/>
    <xf numFmtId="0" fontId="48" fillId="0" borderId="67" xfId="0" applyFont="1" applyBorder="1"/>
    <xf numFmtId="0" fontId="48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37" fillId="0" borderId="68" xfId="0" applyFont="1" applyBorder="1"/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/>
    </xf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7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6" xfId="0" applyFont="1" applyFill="1" applyBorder="1" applyAlignment="1">
      <alignment horizontal="center"/>
    </xf>
    <xf numFmtId="0" fontId="2" fillId="0" borderId="56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39" fillId="8" borderId="3" xfId="0" applyFont="1" applyFill="1" applyBorder="1" applyAlignment="1">
      <alignment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8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0" fillId="14" borderId="0" xfId="0" applyFont="1" applyFill="1" applyAlignment="1">
      <alignment horizontal="center"/>
    </xf>
    <xf numFmtId="0" fontId="42" fillId="0" borderId="71" xfId="0" applyFont="1" applyBorder="1" applyAlignment="1">
      <alignment horizontal="center" vertical="center"/>
    </xf>
    <xf numFmtId="0" fontId="42" fillId="0" borderId="72" xfId="0" applyFont="1" applyBorder="1" applyAlignment="1">
      <alignment horizontal="center" vertical="center"/>
    </xf>
    <xf numFmtId="0" fontId="42" fillId="0" borderId="73" xfId="0" applyFont="1" applyBorder="1" applyAlignment="1">
      <alignment horizontal="center" vertical="center"/>
    </xf>
    <xf numFmtId="0" fontId="57" fillId="0" borderId="74" xfId="0" applyFont="1" applyBorder="1" applyAlignment="1">
      <alignment horizontal="center" vertical="center"/>
    </xf>
    <xf numFmtId="0" fontId="57" fillId="0" borderId="69" xfId="0" applyFont="1" applyBorder="1" applyAlignment="1">
      <alignment horizontal="center" vertical="center"/>
    </xf>
    <xf numFmtId="0" fontId="57" fillId="0" borderId="75" xfId="0" applyFont="1" applyBorder="1" applyAlignment="1">
      <alignment horizontal="center" vertical="center"/>
    </xf>
    <xf numFmtId="0" fontId="55" fillId="0" borderId="74" xfId="1" applyBorder="1" applyAlignment="1">
      <alignment horizontal="center" vertical="center"/>
    </xf>
    <xf numFmtId="0" fontId="55" fillId="0" borderId="69" xfId="1" applyBorder="1" applyAlignment="1">
      <alignment horizontal="center" vertical="center"/>
    </xf>
    <xf numFmtId="0" fontId="55" fillId="0" borderId="75" xfId="1" applyBorder="1" applyAlignment="1">
      <alignment horizontal="center" vertical="center"/>
    </xf>
    <xf numFmtId="0" fontId="43" fillId="0" borderId="76" xfId="0" applyFont="1" applyBorder="1" applyAlignment="1">
      <alignment horizontal="center" vertical="center"/>
    </xf>
    <xf numFmtId="0" fontId="43" fillId="0" borderId="77" xfId="0" applyFont="1" applyBorder="1" applyAlignment="1">
      <alignment horizontal="center" vertical="center"/>
    </xf>
    <xf numFmtId="0" fontId="43" fillId="0" borderId="78" xfId="0" applyFont="1" applyBorder="1" applyAlignment="1">
      <alignment horizontal="center" vertical="center"/>
    </xf>
    <xf numFmtId="0" fontId="55" fillId="0" borderId="3" xfId="1" applyBorder="1" applyAlignment="1">
      <alignment horizontal="left"/>
    </xf>
    <xf numFmtId="0" fontId="27" fillId="0" borderId="70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59" fillId="15" borderId="68" xfId="0" applyFont="1" applyFill="1" applyBorder="1"/>
    <xf numFmtId="0" fontId="59" fillId="15" borderId="68" xfId="0" applyFont="1" applyFill="1" applyBorder="1" applyAlignment="1">
      <alignment horizontal="center"/>
    </xf>
    <xf numFmtId="0" fontId="58" fillId="15" borderId="68" xfId="0" applyFont="1" applyFill="1" applyBorder="1"/>
    <xf numFmtId="0" fontId="59" fillId="0" borderId="68" xfId="0" applyFont="1" applyBorder="1"/>
    <xf numFmtId="0" fontId="59" fillId="0" borderId="68" xfId="0" applyFont="1" applyBorder="1" applyAlignment="1">
      <alignment horizontal="center"/>
    </xf>
    <xf numFmtId="0" fontId="58" fillId="0" borderId="68" xfId="0" applyFont="1" applyBorder="1"/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" TargetMode="External"/><Relationship Id="rId1" Type="http://schemas.openxmlformats.org/officeDocument/2006/relationships/hyperlink" Target="mailto:ioviedoc@sena.edu.co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opLeftCell="A30" workbookViewId="0">
      <selection activeCell="Q9" sqref="Q9:Q43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54"/>
      <c r="B1" s="155"/>
      <c r="C1" s="158" t="s">
        <v>0</v>
      </c>
      <c r="D1" s="104"/>
      <c r="E1" s="104"/>
      <c r="F1" s="155"/>
      <c r="G1" s="134" t="s">
        <v>1</v>
      </c>
      <c r="H1" s="88"/>
      <c r="I1" s="88"/>
      <c r="J1" s="88"/>
      <c r="K1" s="88"/>
      <c r="L1" s="88"/>
      <c r="M1" s="88"/>
      <c r="N1" s="88"/>
      <c r="O1" s="88"/>
      <c r="P1" s="141"/>
      <c r="Q1" s="88"/>
      <c r="R1" s="88"/>
      <c r="S1" s="138"/>
      <c r="T1" s="142"/>
      <c r="U1" s="83"/>
      <c r="V1" s="83"/>
      <c r="W1" s="83"/>
      <c r="X1" s="143"/>
      <c r="Y1" s="83"/>
      <c r="Z1" s="83"/>
      <c r="AA1" s="83"/>
      <c r="AB1" s="142"/>
      <c r="AC1" s="83"/>
      <c r="AD1" s="83"/>
      <c r="AE1" s="83"/>
      <c r="AF1" s="83"/>
      <c r="AG1" s="83"/>
      <c r="AH1" s="83"/>
      <c r="AI1" s="83"/>
      <c r="AJ1" s="83"/>
      <c r="AK1" s="86"/>
      <c r="AL1" s="82"/>
      <c r="AM1" s="83"/>
      <c r="AN1" s="83"/>
      <c r="AO1" s="83"/>
      <c r="AP1" s="83"/>
      <c r="AQ1" s="83"/>
      <c r="AR1" s="83"/>
      <c r="AS1" s="83"/>
      <c r="AT1" s="83"/>
      <c r="AU1" s="84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5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3"/>
      <c r="CN1" s="83"/>
      <c r="CO1" s="83"/>
      <c r="CP1" s="83"/>
      <c r="CQ1" s="83"/>
      <c r="CR1" s="86"/>
      <c r="CS1" s="89" t="s">
        <v>2</v>
      </c>
      <c r="CT1" s="90"/>
      <c r="CU1" s="90"/>
      <c r="CV1" s="90"/>
      <c r="CW1" s="91"/>
      <c r="CX1" s="1"/>
      <c r="CY1" s="106" t="s">
        <v>3</v>
      </c>
      <c r="CZ1" s="93"/>
      <c r="DA1" s="93"/>
      <c r="DB1" s="93"/>
      <c r="DC1" s="93"/>
      <c r="DD1" s="93"/>
      <c r="DE1" s="93"/>
      <c r="DF1" s="93"/>
      <c r="DG1" s="93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56"/>
      <c r="B2" s="157"/>
      <c r="C2" s="156"/>
      <c r="D2" s="136"/>
      <c r="E2" s="136"/>
      <c r="F2" s="157"/>
      <c r="G2" s="134" t="s">
        <v>4</v>
      </c>
      <c r="H2" s="88"/>
      <c r="I2" s="88"/>
      <c r="J2" s="88"/>
      <c r="K2" s="88"/>
      <c r="L2" s="88"/>
      <c r="M2" s="88"/>
      <c r="N2" s="88"/>
      <c r="O2" s="88"/>
      <c r="P2" s="135"/>
      <c r="Q2" s="136"/>
      <c r="R2" s="136"/>
      <c r="S2" s="136"/>
      <c r="T2" s="98"/>
      <c r="U2" s="88"/>
      <c r="V2" s="88"/>
      <c r="W2" s="100"/>
      <c r="X2" s="102"/>
      <c r="Y2" s="88"/>
      <c r="Z2" s="88"/>
      <c r="AA2" s="88"/>
      <c r="AB2" s="144"/>
      <c r="AC2" s="88"/>
      <c r="AD2" s="88"/>
      <c r="AE2" s="88"/>
      <c r="AF2" s="88"/>
      <c r="AG2" s="88"/>
      <c r="AH2" s="88"/>
      <c r="AI2" s="88"/>
      <c r="AJ2" s="88"/>
      <c r="AK2" s="100"/>
      <c r="AL2" s="102"/>
      <c r="AM2" s="88"/>
      <c r="AN2" s="88"/>
      <c r="AO2" s="88"/>
      <c r="AP2" s="88"/>
      <c r="AQ2" s="88"/>
      <c r="AR2" s="88"/>
      <c r="AS2" s="88"/>
      <c r="AT2" s="88"/>
      <c r="AU2" s="9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  <c r="BV2" s="99"/>
      <c r="BW2" s="88"/>
      <c r="BX2" s="88"/>
      <c r="BY2" s="88"/>
      <c r="BZ2" s="88"/>
      <c r="CA2" s="88"/>
      <c r="CB2" s="88"/>
      <c r="CC2" s="88"/>
      <c r="CD2" s="88"/>
      <c r="CE2" s="88"/>
      <c r="CF2" s="88"/>
      <c r="CG2" s="88"/>
      <c r="CH2" s="88"/>
      <c r="CI2" s="88"/>
      <c r="CJ2" s="88"/>
      <c r="CK2" s="88"/>
      <c r="CL2" s="88"/>
      <c r="CM2" s="88"/>
      <c r="CN2" s="88"/>
      <c r="CO2" s="88"/>
      <c r="CP2" s="88"/>
      <c r="CQ2" s="88"/>
      <c r="CR2" s="100"/>
      <c r="CS2" s="92"/>
      <c r="CT2" s="93"/>
      <c r="CU2" s="93"/>
      <c r="CV2" s="93"/>
      <c r="CW2" s="94"/>
      <c r="CX2" s="1"/>
      <c r="CY2" s="107">
        <f>COUNTA('BASE DE DATOS'!B10:B49)</f>
        <v>38</v>
      </c>
      <c r="CZ2" s="108"/>
      <c r="DA2" s="108"/>
      <c r="DB2" s="108"/>
      <c r="DC2" s="108"/>
      <c r="DD2" s="108"/>
      <c r="DE2" s="108"/>
      <c r="DF2" s="108"/>
      <c r="DG2" s="108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37" t="s">
        <v>5</v>
      </c>
      <c r="B3" s="88"/>
      <c r="C3" s="138"/>
      <c r="D3" s="139" t="s">
        <v>6</v>
      </c>
      <c r="E3" s="88"/>
      <c r="F3" s="138"/>
      <c r="G3" s="146" t="s">
        <v>7</v>
      </c>
      <c r="H3" s="88"/>
      <c r="I3" s="88"/>
      <c r="J3" s="88"/>
      <c r="K3" s="88"/>
      <c r="L3" s="88"/>
      <c r="M3" s="88"/>
      <c r="N3" s="88"/>
      <c r="O3" s="88"/>
      <c r="P3" s="140"/>
      <c r="Q3" s="88"/>
      <c r="R3" s="88"/>
      <c r="S3" s="88"/>
      <c r="T3" s="129"/>
      <c r="U3" s="88"/>
      <c r="V3" s="88"/>
      <c r="W3" s="100"/>
      <c r="X3" s="130"/>
      <c r="Y3" s="88"/>
      <c r="Z3" s="88"/>
      <c r="AA3" s="88"/>
      <c r="AB3" s="129"/>
      <c r="AC3" s="88"/>
      <c r="AD3" s="88"/>
      <c r="AE3" s="88"/>
      <c r="AF3" s="88"/>
      <c r="AG3" s="88"/>
      <c r="AH3" s="88"/>
      <c r="AI3" s="88"/>
      <c r="AJ3" s="88"/>
      <c r="AK3" s="100"/>
      <c r="AL3" s="87"/>
      <c r="AM3" s="88"/>
      <c r="AN3" s="88"/>
      <c r="AO3" s="88"/>
      <c r="AP3" s="88"/>
      <c r="AQ3" s="88"/>
      <c r="AR3" s="88"/>
      <c r="AS3" s="88"/>
      <c r="AT3" s="88"/>
      <c r="AU3" s="113"/>
      <c r="AV3" s="88"/>
      <c r="AW3" s="88"/>
      <c r="AX3" s="88"/>
      <c r="AY3" s="88"/>
      <c r="AZ3" s="88"/>
      <c r="BA3" s="88"/>
      <c r="BB3" s="88"/>
      <c r="BC3" s="88"/>
      <c r="BD3" s="88"/>
      <c r="BE3" s="88"/>
      <c r="BF3" s="88"/>
      <c r="BG3" s="88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101"/>
      <c r="BW3" s="88"/>
      <c r="BX3" s="88"/>
      <c r="BY3" s="88"/>
      <c r="BZ3" s="88"/>
      <c r="CA3" s="88"/>
      <c r="CB3" s="88"/>
      <c r="CC3" s="88"/>
      <c r="CD3" s="88"/>
      <c r="CE3" s="88"/>
      <c r="CF3" s="88"/>
      <c r="CG3" s="88"/>
      <c r="CH3" s="88"/>
      <c r="CI3" s="88"/>
      <c r="CJ3" s="88"/>
      <c r="CK3" s="88"/>
      <c r="CL3" s="88"/>
      <c r="CM3" s="88"/>
      <c r="CN3" s="88"/>
      <c r="CO3" s="88"/>
      <c r="CP3" s="88"/>
      <c r="CQ3" s="88"/>
      <c r="CR3" s="100"/>
      <c r="CS3" s="92"/>
      <c r="CT3" s="93"/>
      <c r="CU3" s="93"/>
      <c r="CV3" s="93"/>
      <c r="CW3" s="94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37" t="s">
        <v>8</v>
      </c>
      <c r="B4" s="88"/>
      <c r="C4" s="138"/>
      <c r="D4" s="145" t="s">
        <v>9</v>
      </c>
      <c r="E4" s="88"/>
      <c r="F4" s="138"/>
      <c r="G4" s="147" t="s">
        <v>10</v>
      </c>
      <c r="H4" s="104"/>
      <c r="I4" s="104"/>
      <c r="J4" s="104"/>
      <c r="K4" s="104"/>
      <c r="L4" s="104"/>
      <c r="M4" s="104"/>
      <c r="N4" s="104"/>
      <c r="O4" s="104"/>
      <c r="P4" s="149"/>
      <c r="Q4" s="104"/>
      <c r="R4" s="104"/>
      <c r="S4" s="104"/>
      <c r="T4" s="150"/>
      <c r="U4" s="104"/>
      <c r="V4" s="104"/>
      <c r="W4" s="105"/>
      <c r="X4" s="151"/>
      <c r="Y4" s="104"/>
      <c r="Z4" s="104"/>
      <c r="AA4" s="104"/>
      <c r="AB4" s="152"/>
      <c r="AC4" s="104"/>
      <c r="AD4" s="104"/>
      <c r="AE4" s="104"/>
      <c r="AF4" s="104"/>
      <c r="AG4" s="104"/>
      <c r="AH4" s="104"/>
      <c r="AI4" s="104"/>
      <c r="AJ4" s="104"/>
      <c r="AK4" s="105"/>
      <c r="AL4" s="103"/>
      <c r="AM4" s="104"/>
      <c r="AN4" s="104"/>
      <c r="AO4" s="104"/>
      <c r="AP4" s="104"/>
      <c r="AQ4" s="104"/>
      <c r="AR4" s="104"/>
      <c r="AS4" s="104"/>
      <c r="AT4" s="105"/>
      <c r="AU4" s="114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4"/>
      <c r="BS4" s="104"/>
      <c r="BT4" s="104"/>
      <c r="BU4" s="104"/>
      <c r="BV4" s="115"/>
      <c r="BW4" s="104"/>
      <c r="BX4" s="104"/>
      <c r="BY4" s="104"/>
      <c r="BZ4" s="104"/>
      <c r="CA4" s="104"/>
      <c r="CB4" s="104"/>
      <c r="CC4" s="104"/>
      <c r="CD4" s="104"/>
      <c r="CE4" s="104"/>
      <c r="CF4" s="104"/>
      <c r="CG4" s="104"/>
      <c r="CH4" s="104"/>
      <c r="CI4" s="104"/>
      <c r="CJ4" s="104"/>
      <c r="CK4" s="104"/>
      <c r="CL4" s="104"/>
      <c r="CM4" s="104"/>
      <c r="CN4" s="104"/>
      <c r="CO4" s="104"/>
      <c r="CP4" s="104"/>
      <c r="CQ4" s="104"/>
      <c r="CR4" s="105"/>
      <c r="CS4" s="92"/>
      <c r="CT4" s="93"/>
      <c r="CU4" s="93"/>
      <c r="CV4" s="93"/>
      <c r="CW4" s="94"/>
      <c r="CX4" s="1"/>
      <c r="CY4" s="109" t="s">
        <v>11</v>
      </c>
      <c r="CZ4" s="110"/>
      <c r="DA4" s="111" t="s">
        <v>12</v>
      </c>
      <c r="DB4" s="112"/>
      <c r="DC4" s="112"/>
      <c r="DD4" s="112"/>
      <c r="DE4" s="112"/>
      <c r="DF4" s="112"/>
      <c r="DG4" s="110"/>
      <c r="DH4" s="1"/>
      <c r="DI4" s="1"/>
      <c r="DJ4" s="109" t="s">
        <v>13</v>
      </c>
      <c r="DK4" s="110"/>
      <c r="DL4" s="111" t="s">
        <v>14</v>
      </c>
      <c r="DM4" s="112"/>
      <c r="DN4" s="112"/>
      <c r="DO4" s="112"/>
      <c r="DP4" s="112"/>
      <c r="DQ4" s="112"/>
      <c r="DR4" s="110"/>
      <c r="DS4" s="1"/>
      <c r="DT4" s="1"/>
      <c r="DU4" s="1"/>
      <c r="DV4" s="1"/>
      <c r="DW4" s="1"/>
    </row>
    <row r="5" spans="1:129" ht="15.75">
      <c r="A5" s="137" t="s">
        <v>15</v>
      </c>
      <c r="B5" s="88"/>
      <c r="C5" s="138"/>
      <c r="D5" s="153" t="str">
        <f>'BASE DE DATOS'!C7</f>
        <v>COLEGIO TOMAS CIPRIANO DE MOSQUERA (IED)</v>
      </c>
      <c r="E5" s="88"/>
      <c r="F5" s="138"/>
      <c r="G5" s="148"/>
      <c r="H5" s="108"/>
      <c r="I5" s="108"/>
      <c r="J5" s="108"/>
      <c r="K5" s="108"/>
      <c r="L5" s="108"/>
      <c r="M5" s="108"/>
      <c r="N5" s="108"/>
      <c r="O5" s="108"/>
      <c r="P5" s="95"/>
      <c r="Q5" s="96"/>
      <c r="R5" s="96"/>
      <c r="S5" s="96"/>
      <c r="T5" s="95"/>
      <c r="U5" s="96"/>
      <c r="V5" s="96"/>
      <c r="W5" s="97"/>
      <c r="X5" s="95"/>
      <c r="Y5" s="96"/>
      <c r="Z5" s="96"/>
      <c r="AA5" s="96"/>
      <c r="AB5" s="95"/>
      <c r="AC5" s="96"/>
      <c r="AD5" s="96"/>
      <c r="AE5" s="96"/>
      <c r="AF5" s="96"/>
      <c r="AG5" s="96"/>
      <c r="AH5" s="96"/>
      <c r="AI5" s="96"/>
      <c r="AJ5" s="96"/>
      <c r="AK5" s="97"/>
      <c r="AL5" s="95"/>
      <c r="AM5" s="96"/>
      <c r="AN5" s="96"/>
      <c r="AO5" s="96"/>
      <c r="AP5" s="96"/>
      <c r="AQ5" s="96"/>
      <c r="AR5" s="96"/>
      <c r="AS5" s="96"/>
      <c r="AT5" s="97"/>
      <c r="AU5" s="95"/>
      <c r="AV5" s="96"/>
      <c r="AW5" s="96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5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s="96"/>
      <c r="CO5" s="96"/>
      <c r="CP5" s="96"/>
      <c r="CQ5" s="96"/>
      <c r="CR5" s="97"/>
      <c r="CS5" s="95"/>
      <c r="CT5" s="96"/>
      <c r="CU5" s="96"/>
      <c r="CV5" s="96"/>
      <c r="CW5" s="97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37" t="s">
        <v>16</v>
      </c>
      <c r="B6" s="88"/>
      <c r="C6" s="138"/>
      <c r="D6" s="3">
        <f>'BASE DE DATOS'!C4</f>
        <v>3458742</v>
      </c>
      <c r="E6" s="4" t="s">
        <v>17</v>
      </c>
      <c r="F6" s="5">
        <f>'BASE DE DATOS'!G7</f>
        <v>10</v>
      </c>
      <c r="G6" s="159" t="str">
        <f>CY1 &amp; " " &amp; CY2</f>
        <v>TOTAL APRENDICES MATRICULADOS: 38</v>
      </c>
      <c r="H6" s="104"/>
      <c r="I6" s="104"/>
      <c r="J6" s="104"/>
      <c r="K6" s="104"/>
      <c r="L6" s="104"/>
      <c r="M6" s="104"/>
      <c r="N6" s="104"/>
      <c r="O6" s="155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abr</v>
      </c>
      <c r="U6" s="7" t="str">
        <f t="shared" si="0"/>
        <v>abr</v>
      </c>
      <c r="V6" s="7" t="str">
        <f t="shared" si="0"/>
        <v>abr</v>
      </c>
      <c r="W6" s="7" t="str">
        <f t="shared" si="0"/>
        <v>abr</v>
      </c>
      <c r="X6" s="7" t="str">
        <f t="shared" si="0"/>
        <v>abr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may</v>
      </c>
      <c r="AC6" s="7" t="str">
        <f t="shared" si="0"/>
        <v>may</v>
      </c>
      <c r="AD6" s="7" t="str">
        <f t="shared" si="0"/>
        <v>may</v>
      </c>
      <c r="AE6" s="7" t="str">
        <f t="shared" si="0"/>
        <v>may</v>
      </c>
      <c r="AF6" s="7" t="str">
        <f t="shared" si="0"/>
        <v>may</v>
      </c>
      <c r="AG6" s="7" t="str">
        <f t="shared" si="0"/>
        <v>may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jun</v>
      </c>
      <c r="AM6" s="7" t="str">
        <f t="shared" si="0"/>
        <v>jun</v>
      </c>
      <c r="AN6" s="7" t="str">
        <f t="shared" si="0"/>
        <v>jun</v>
      </c>
      <c r="AO6" s="7" t="str">
        <f t="shared" si="0"/>
        <v>jun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jul</v>
      </c>
      <c r="AU6" s="7" t="str">
        <f t="shared" si="0"/>
        <v>jul</v>
      </c>
      <c r="AV6" s="7" t="str">
        <f t="shared" si="0"/>
        <v>jul</v>
      </c>
      <c r="AW6" s="7" t="str">
        <f t="shared" si="0"/>
        <v>jul</v>
      </c>
      <c r="AX6" s="7" t="str">
        <f t="shared" si="0"/>
        <v>jul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ago</v>
      </c>
      <c r="BD6" s="7" t="str">
        <f t="shared" si="0"/>
        <v>ago</v>
      </c>
      <c r="BE6" s="7" t="str">
        <f t="shared" si="0"/>
        <v>ago</v>
      </c>
      <c r="BF6" s="7" t="str">
        <f t="shared" si="0"/>
        <v>ago</v>
      </c>
      <c r="BG6" s="7" t="str">
        <f t="shared" si="0"/>
        <v>ago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sep</v>
      </c>
      <c r="BM6" s="7" t="str">
        <f t="shared" si="0"/>
        <v>sep</v>
      </c>
      <c r="BN6" s="7" t="str">
        <f t="shared" si="0"/>
        <v>sep</v>
      </c>
      <c r="BO6" s="7" t="str">
        <f t="shared" si="0"/>
        <v>sep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oct</v>
      </c>
      <c r="BU6" s="7" t="str">
        <f t="shared" si="0"/>
        <v>oct</v>
      </c>
      <c r="BV6" s="7" t="str">
        <f t="shared" si="0"/>
        <v>oct</v>
      </c>
      <c r="BW6" s="7" t="str">
        <f t="shared" si="0"/>
        <v>oct</v>
      </c>
      <c r="BX6" s="7" t="str">
        <f t="shared" si="0"/>
        <v>oct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nov</v>
      </c>
      <c r="CE6" s="7" t="str">
        <f t="shared" si="0"/>
        <v>nov</v>
      </c>
      <c r="CF6" s="7" t="str">
        <f t="shared" si="0"/>
        <v>nov</v>
      </c>
      <c r="CG6" s="7" t="str">
        <f t="shared" si="0"/>
        <v>nov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dic</v>
      </c>
      <c r="CM6" s="7" t="str">
        <f t="shared" si="0"/>
        <v>dic</v>
      </c>
      <c r="CN6" s="7" t="str">
        <f t="shared" si="0"/>
        <v>dic</v>
      </c>
      <c r="CO6" s="7" t="str">
        <f t="shared" si="0"/>
        <v>dic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ene</v>
      </c>
      <c r="CU6" s="7" t="str">
        <f t="shared" si="0"/>
        <v>ene</v>
      </c>
      <c r="CV6" s="7" t="str">
        <f t="shared" si="0"/>
        <v>ene</v>
      </c>
      <c r="CW6" s="7" t="str">
        <f t="shared" si="0"/>
        <v>ene</v>
      </c>
      <c r="CX6" s="116" t="s">
        <v>18</v>
      </c>
      <c r="CY6" s="117"/>
      <c r="CZ6" s="117"/>
      <c r="DA6" s="117"/>
      <c r="DB6" s="117"/>
      <c r="DC6" s="117"/>
      <c r="DD6" s="117"/>
      <c r="DE6" s="117"/>
      <c r="DF6" s="117"/>
      <c r="DG6" s="117"/>
      <c r="DH6" s="117"/>
      <c r="DI6" s="117"/>
      <c r="DJ6" s="117"/>
      <c r="DK6" s="117"/>
      <c r="DL6" s="117"/>
      <c r="DM6" s="117"/>
      <c r="DN6" s="117"/>
      <c r="DO6" s="117"/>
      <c r="DP6" s="117"/>
      <c r="DQ6" s="117"/>
      <c r="DR6" s="117"/>
      <c r="DS6" s="117"/>
      <c r="DT6" s="117"/>
      <c r="DU6" s="117"/>
      <c r="DV6" s="117"/>
      <c r="DW6" s="117"/>
    </row>
    <row r="7" spans="1:129" ht="22.5">
      <c r="A7" s="160" t="s">
        <v>19</v>
      </c>
      <c r="B7" s="88"/>
      <c r="C7" s="138"/>
      <c r="D7" s="8">
        <f>'BASE DE DATOS'!G5</f>
        <v>46101</v>
      </c>
      <c r="E7" s="9" t="s">
        <v>20</v>
      </c>
      <c r="F7" s="10">
        <f>'BASE DE DATOS'!G6</f>
        <v>46102</v>
      </c>
      <c r="G7" s="156"/>
      <c r="H7" s="136"/>
      <c r="I7" s="136"/>
      <c r="J7" s="136"/>
      <c r="K7" s="136"/>
      <c r="L7" s="136"/>
      <c r="M7" s="136"/>
      <c r="N7" s="136"/>
      <c r="O7" s="157"/>
      <c r="P7" s="11">
        <f>D7</f>
        <v>46101</v>
      </c>
      <c r="Q7" s="12">
        <f>F7</f>
        <v>46102</v>
      </c>
      <c r="R7" s="12">
        <f>IF('BASE DE DATOS'!$G$4=1,(Q7+7),IF('BASE DE DATOS'!$G$4=2,(P7+7)))</f>
        <v>46108</v>
      </c>
      <c r="S7" s="12">
        <f>IF('BASE DE DATOS'!$G$4=1,(R7+7),IF('BASE DE DATOS'!$G$4=2,(Q7+7)))</f>
        <v>46109</v>
      </c>
      <c r="T7" s="12">
        <f>IF('BASE DE DATOS'!$G$4=1,(S7+7),IF('BASE DE DATOS'!$G$4=2,(R7+7)))</f>
        <v>46115</v>
      </c>
      <c r="U7" s="12">
        <f>IF('BASE DE DATOS'!$G$4=1,(T7+7),IF('BASE DE DATOS'!$G$4=2,(S7+7)))</f>
        <v>46116</v>
      </c>
      <c r="V7" s="12">
        <f>IF('BASE DE DATOS'!$G$4=1,(U7+7),IF('BASE DE DATOS'!$G$4=2,(T7+7)))</f>
        <v>46122</v>
      </c>
      <c r="W7" s="12">
        <f>IF('BASE DE DATOS'!$G$4=1,(V7+7),IF('BASE DE DATOS'!$G$4=2,(U7+7)))</f>
        <v>46123</v>
      </c>
      <c r="X7" s="12">
        <f>IF('BASE DE DATOS'!$G$4=1,(W7+7),IF('BASE DE DATOS'!$G$4=2,(V7+7)))</f>
        <v>46129</v>
      </c>
      <c r="Y7" s="12">
        <f>IF('BASE DE DATOS'!$G$4=1,(X7+7),IF('BASE DE DATOS'!$G$4=2,(W7+7)))</f>
        <v>46130</v>
      </c>
      <c r="Z7" s="12">
        <f>IF('BASE DE DATOS'!$G$4=1,(Y7+7),IF('BASE DE DATOS'!$G$4=2,(X7+7)))</f>
        <v>46136</v>
      </c>
      <c r="AA7" s="12">
        <f>IF('BASE DE DATOS'!$G$4=1,(Z7+7),IF('BASE DE DATOS'!$G$4=2,(Y7+7)))</f>
        <v>46137</v>
      </c>
      <c r="AB7" s="12">
        <f>IF('BASE DE DATOS'!$G$4=1,(AA7+7),IF('BASE DE DATOS'!$G$4=2,(Z7+7)))</f>
        <v>46143</v>
      </c>
      <c r="AC7" s="12">
        <f>IF('BASE DE DATOS'!$G$4=1,(AB7+7),IF('BASE DE DATOS'!$G$4=2,(AA7+7)))</f>
        <v>46144</v>
      </c>
      <c r="AD7" s="12">
        <f>IF('BASE DE DATOS'!$G$4=1,(AC7+7),IF('BASE DE DATOS'!$G$4=2,(AB7+7)))</f>
        <v>46150</v>
      </c>
      <c r="AE7" s="12">
        <f>IF('BASE DE DATOS'!$G$4=1,(AD7+7),IF('BASE DE DATOS'!$G$4=2,(AC7+7)))</f>
        <v>46151</v>
      </c>
      <c r="AF7" s="12">
        <f>IF('BASE DE DATOS'!$G$4=1,(AE7+7),IF('BASE DE DATOS'!$G$4=2,(AD7+7)))</f>
        <v>46157</v>
      </c>
      <c r="AG7" s="12">
        <f>IF('BASE DE DATOS'!$G$4=1,(AF7+7),IF('BASE DE DATOS'!$G$4=2,(AE7+7)))</f>
        <v>46158</v>
      </c>
      <c r="AH7" s="12">
        <f>IF('BASE DE DATOS'!$G$4=1,(AG7+7),IF('BASE DE DATOS'!$G$4=2,(AF7+7)))</f>
        <v>46164</v>
      </c>
      <c r="AI7" s="12">
        <f>IF('BASE DE DATOS'!$G$4=1,(AH7+7),IF('BASE DE DATOS'!$G$4=2,(AG7+7)))</f>
        <v>46165</v>
      </c>
      <c r="AJ7" s="12">
        <f>IF('BASE DE DATOS'!$G$4=1,(AI7+7),IF('BASE DE DATOS'!$G$4=2,(AH7+7)))</f>
        <v>46171</v>
      </c>
      <c r="AK7" s="12">
        <f>IF('BASE DE DATOS'!$G$4=1,(AJ7+7),IF('BASE DE DATOS'!$G$4=2,(AI7+7)))</f>
        <v>46172</v>
      </c>
      <c r="AL7" s="12">
        <f>IF('BASE DE DATOS'!$G$4=1,(AK7+7),IF('BASE DE DATOS'!$G$4=2,(AJ7+7)))</f>
        <v>46178</v>
      </c>
      <c r="AM7" s="12">
        <f>IF('BASE DE DATOS'!$G$4=1,(AL7+7),IF('BASE DE DATOS'!$G$4=2,(AK7+7)))</f>
        <v>46179</v>
      </c>
      <c r="AN7" s="12">
        <f>IF('BASE DE DATOS'!$G$4=1,(AM7+7),IF('BASE DE DATOS'!$G$4=2,(AL7+7)))</f>
        <v>46185</v>
      </c>
      <c r="AO7" s="12">
        <f>IF('BASE DE DATOS'!$G$4=1,(AN7+7),IF('BASE DE DATOS'!$G$4=2,(AM7+7)))</f>
        <v>46186</v>
      </c>
      <c r="AP7" s="12">
        <f>IF('BASE DE DATOS'!$G$4=1,(AO7+7),IF('BASE DE DATOS'!$G$4=2,(AN7+7)))</f>
        <v>46192</v>
      </c>
      <c r="AQ7" s="12">
        <f>IF('BASE DE DATOS'!$G$4=1,(AP7+7),IF('BASE DE DATOS'!$G$4=2,(AO7+7)))</f>
        <v>46193</v>
      </c>
      <c r="AR7" s="12">
        <f>IF('BASE DE DATOS'!$G$4=1,(AQ7+7),IF('BASE DE DATOS'!$G$4=2,(AP7+7)))</f>
        <v>46199</v>
      </c>
      <c r="AS7" s="12">
        <f>IF('BASE DE DATOS'!$G$4=1,(AR7+7),IF('BASE DE DATOS'!$G$4=2,(AQ7+7)))</f>
        <v>46200</v>
      </c>
      <c r="AT7" s="12">
        <f>IF('BASE DE DATOS'!$G$4=1,(AS7+7),IF('BASE DE DATOS'!$G$4=2,(AR7+7)))</f>
        <v>46206</v>
      </c>
      <c r="AU7" s="12">
        <f>IF('BASE DE DATOS'!$G$4=1,(AT7+7),IF('BASE DE DATOS'!$G$4=2,(AS7+7)))</f>
        <v>46207</v>
      </c>
      <c r="AV7" s="12">
        <f>IF('BASE DE DATOS'!$G$4=1,(AU7+7),IF('BASE DE DATOS'!$G$4=2,(AT7+7)))</f>
        <v>46213</v>
      </c>
      <c r="AW7" s="12">
        <f>IF('BASE DE DATOS'!$G$4=1,(AV7+7),IF('BASE DE DATOS'!$G$4=2,(AU7+7)))</f>
        <v>46214</v>
      </c>
      <c r="AX7" s="12">
        <f>IF('BASE DE DATOS'!$G$4=1,(AW7+7),IF('BASE DE DATOS'!$G$4=2,(AV7+7)))</f>
        <v>46220</v>
      </c>
      <c r="AY7" s="12">
        <f>IF('BASE DE DATOS'!$G$4=1,(AX7+7),IF('BASE DE DATOS'!$G$4=2,(AW7+7)))</f>
        <v>46221</v>
      </c>
      <c r="AZ7" s="12">
        <f>IF('BASE DE DATOS'!$G$4=1,(AY7+7),IF('BASE DE DATOS'!$G$4=2,(AX7+7)))</f>
        <v>46227</v>
      </c>
      <c r="BA7" s="12">
        <f>IF('BASE DE DATOS'!$G$4=1,(AZ7+7),IF('BASE DE DATOS'!$G$4=2,(AY7+7)))</f>
        <v>46228</v>
      </c>
      <c r="BB7" s="12">
        <f>IF('BASE DE DATOS'!$G$4=1,(BA7+7),IF('BASE DE DATOS'!$G$4=2,(AZ7+7)))</f>
        <v>46234</v>
      </c>
      <c r="BC7" s="12">
        <f>IF('BASE DE DATOS'!$G$4=1,(BB7+7),IF('BASE DE DATOS'!$G$4=2,(BA7+7)))</f>
        <v>46235</v>
      </c>
      <c r="BD7" s="12">
        <f>IF('BASE DE DATOS'!$G$4=1,(BC7+7),IF('BASE DE DATOS'!$G$4=2,(BB7+7)))</f>
        <v>46241</v>
      </c>
      <c r="BE7" s="12">
        <f>IF('BASE DE DATOS'!$G$4=1,(BD7+7),IF('BASE DE DATOS'!$G$4=2,(BC7+7)))</f>
        <v>46242</v>
      </c>
      <c r="BF7" s="12">
        <f>IF('BASE DE DATOS'!$G$4=1,(BE7+7),IF('BASE DE DATOS'!$G$4=2,(BD7+7)))</f>
        <v>46248</v>
      </c>
      <c r="BG7" s="12">
        <f>IF('BASE DE DATOS'!$G$4=1,(BF7+7),IF('BASE DE DATOS'!$G$4=2,(BE7+7)))</f>
        <v>46249</v>
      </c>
      <c r="BH7" s="12">
        <f>IF('BASE DE DATOS'!$G$4=1,(BG7+7),IF('BASE DE DATOS'!$G$4=2,(BF7+7)))</f>
        <v>46255</v>
      </c>
      <c r="BI7" s="12">
        <f>IF('BASE DE DATOS'!$G$4=1,(BH7+7),IF('BASE DE DATOS'!$G$4=2,(BG7+7)))</f>
        <v>46256</v>
      </c>
      <c r="BJ7" s="12">
        <f>IF('BASE DE DATOS'!$G$4=1,(BI7+7),IF('BASE DE DATOS'!$G$4=2,(BH7+7)))</f>
        <v>46262</v>
      </c>
      <c r="BK7" s="12">
        <f>IF('BASE DE DATOS'!$G$4=1,(BJ7+7),IF('BASE DE DATOS'!$G$4=2,(BI7+7)))</f>
        <v>46263</v>
      </c>
      <c r="BL7" s="12">
        <f>IF('BASE DE DATOS'!$G$4=1,(BK7+7),IF('BASE DE DATOS'!$G$4=2,(BJ7+7)))</f>
        <v>46269</v>
      </c>
      <c r="BM7" s="12">
        <f>IF('BASE DE DATOS'!$G$4=1,(BL7+7),IF('BASE DE DATOS'!$G$4=2,(BK7+7)))</f>
        <v>46270</v>
      </c>
      <c r="BN7" s="12">
        <f>IF('BASE DE DATOS'!$G$4=1,(BM7+7),IF('BASE DE DATOS'!$G$4=2,(BL7+7)))</f>
        <v>46276</v>
      </c>
      <c r="BO7" s="12">
        <f>IF('BASE DE DATOS'!$G$4=1,(BN7+7),IF('BASE DE DATOS'!$G$4=2,(BM7+7)))</f>
        <v>46277</v>
      </c>
      <c r="BP7" s="12">
        <f>IF('BASE DE DATOS'!$G$4=1,(BO7+7),IF('BASE DE DATOS'!$G$4=2,(BN7+7)))</f>
        <v>46283</v>
      </c>
      <c r="BQ7" s="12">
        <f>IF('BASE DE DATOS'!$G$4=1,(BP7+7),IF('BASE DE DATOS'!$G$4=2,(BO7+7)))</f>
        <v>46284</v>
      </c>
      <c r="BR7" s="12">
        <f>IF('BASE DE DATOS'!$G$4=1,(BQ7+7),IF('BASE DE DATOS'!$G$4=2,(BP7+7)))</f>
        <v>46290</v>
      </c>
      <c r="BS7" s="12">
        <f>IF('BASE DE DATOS'!$G$4=1,(BR7+7),IF('BASE DE DATOS'!$G$4=2,(BQ7+7)))</f>
        <v>46291</v>
      </c>
      <c r="BT7" s="12">
        <f>IF('BASE DE DATOS'!$G$4=1,(BS7+7),IF('BASE DE DATOS'!$G$4=2,(BR7+7)))</f>
        <v>46297</v>
      </c>
      <c r="BU7" s="12">
        <f>IF('BASE DE DATOS'!$G$4=1,(BT7+7),IF('BASE DE DATOS'!$G$4=2,(BS7+7)))</f>
        <v>46298</v>
      </c>
      <c r="BV7" s="12">
        <f>IF('BASE DE DATOS'!$G$4=1,(BU7+7),IF('BASE DE DATOS'!$G$4=2,(BT7+7)))</f>
        <v>46304</v>
      </c>
      <c r="BW7" s="12">
        <f>IF('BASE DE DATOS'!$G$4=1,(BV7+7),IF('BASE DE DATOS'!$G$4=2,(BU7+7)))</f>
        <v>46305</v>
      </c>
      <c r="BX7" s="12">
        <f>IF('BASE DE DATOS'!$G$4=1,(BW7+7),IF('BASE DE DATOS'!$G$4=2,(BV7+7)))</f>
        <v>46311</v>
      </c>
      <c r="BY7" s="12">
        <f>IF('BASE DE DATOS'!$G$4=1,(BX7+7),IF('BASE DE DATOS'!$G$4=2,(BW7+7)))</f>
        <v>46312</v>
      </c>
      <c r="BZ7" s="12">
        <f>IF('BASE DE DATOS'!$G$4=1,(BY7+7),IF('BASE DE DATOS'!$G$4=2,(BX7+7)))</f>
        <v>46318</v>
      </c>
      <c r="CA7" s="12">
        <f>IF('BASE DE DATOS'!$G$4=1,(BZ7+7),IF('BASE DE DATOS'!$G$4=2,(BY7+7)))</f>
        <v>46319</v>
      </c>
      <c r="CB7" s="12">
        <f>IF('BASE DE DATOS'!$G$4=1,(CA7+7),IF('BASE DE DATOS'!$G$4=2,(BZ7+7)))</f>
        <v>46325</v>
      </c>
      <c r="CC7" s="12">
        <f>IF('BASE DE DATOS'!$G$4=1,(CB7+7),IF('BASE DE DATOS'!$G$4=2,(CA7+7)))</f>
        <v>46326</v>
      </c>
      <c r="CD7" s="12">
        <f>IF('BASE DE DATOS'!$G$4=1,(CC7+7),IF('BASE DE DATOS'!$G$4=2,(CB7+7)))</f>
        <v>46332</v>
      </c>
      <c r="CE7" s="12">
        <f>IF('BASE DE DATOS'!$G$4=1,(CD7+7),IF('BASE DE DATOS'!$G$4=2,(CC7+7)))</f>
        <v>46333</v>
      </c>
      <c r="CF7" s="12">
        <f>IF('BASE DE DATOS'!$G$4=1,(CE7+7),IF('BASE DE DATOS'!$G$4=2,(CD7+7)))</f>
        <v>46339</v>
      </c>
      <c r="CG7" s="12">
        <f>IF('BASE DE DATOS'!$G$4=1,(CF7+7),IF('BASE DE DATOS'!$G$4=2,(CE7+7)))</f>
        <v>46340</v>
      </c>
      <c r="CH7" s="12">
        <f>IF('BASE DE DATOS'!$G$4=1,(CG7+7),IF('BASE DE DATOS'!$G$4=2,(CF7+7)))</f>
        <v>46346</v>
      </c>
      <c r="CI7" s="12">
        <f>IF('BASE DE DATOS'!$G$4=1,(CH7+7),IF('BASE DE DATOS'!$G$4=2,(CG7+7)))</f>
        <v>46347</v>
      </c>
      <c r="CJ7" s="12">
        <f>IF('BASE DE DATOS'!$G$4=1,(CI7+7),IF('BASE DE DATOS'!$G$4=2,(CH7+7)))</f>
        <v>46353</v>
      </c>
      <c r="CK7" s="12">
        <f>IF('BASE DE DATOS'!$G$4=1,(CJ7+7),IF('BASE DE DATOS'!$G$4=2,(CI7+7)))</f>
        <v>46354</v>
      </c>
      <c r="CL7" s="12">
        <f>IF('BASE DE DATOS'!$G$4=1,(CK7+7),IF('BASE DE DATOS'!$G$4=2,(CJ7+7)))</f>
        <v>46360</v>
      </c>
      <c r="CM7" s="12">
        <f>IF('BASE DE DATOS'!$G$4=1,(CL7+7),IF('BASE DE DATOS'!$G$4=2,(CK7+7)))</f>
        <v>46361</v>
      </c>
      <c r="CN7" s="12">
        <f>IF('BASE DE DATOS'!$G$4=1,(CM7+7),IF('BASE DE DATOS'!$G$4=2,(CL7+7)))</f>
        <v>46367</v>
      </c>
      <c r="CO7" s="12">
        <f>IF('BASE DE DATOS'!$G$4=1,(CN7+7),IF('BASE DE DATOS'!$G$4=2,(CM7+7)))</f>
        <v>46368</v>
      </c>
      <c r="CP7" s="12">
        <f>IF('BASE DE DATOS'!$G$4=1,(CO7+7),IF('BASE DE DATOS'!$G$4=2,(CN7+7)))</f>
        <v>46374</v>
      </c>
      <c r="CQ7" s="12">
        <f>IF('BASE DE DATOS'!$G$4=1,(CP7+7),IF('BASE DE DATOS'!$G$4=2,(CO7+7)))</f>
        <v>46375</v>
      </c>
      <c r="CR7" s="12">
        <f>IF('BASE DE DATOS'!$G$4=1,(CQ7+7),IF('BASE DE DATOS'!$G$4=2,(CP7+7)))</f>
        <v>46381</v>
      </c>
      <c r="CS7" s="12">
        <f>IF('BASE DE DATOS'!$G$4=1,(CR7+7),IF('BASE DE DATOS'!$G$4=2,(CQ7+7)))</f>
        <v>46382</v>
      </c>
      <c r="CT7" s="12">
        <f>IF('BASE DE DATOS'!$G$4=1,(CS7+7),IF('BASE DE DATOS'!$G$4=2,(CR7+7)))</f>
        <v>46388</v>
      </c>
      <c r="CU7" s="12">
        <f>IF('BASE DE DATOS'!$G$4=1,(CT7+7),IF('BASE DE DATOS'!$G$4=2,(CS7+7)))</f>
        <v>46389</v>
      </c>
      <c r="CV7" s="12">
        <f>IF('BASE DE DATOS'!$G$4=1,(CU7+7),IF('BASE DE DATOS'!$G$4=2,(CT7+7)))</f>
        <v>46395</v>
      </c>
      <c r="CW7" s="12">
        <f>IF('BASE DE DATOS'!$G$4=1,(CV7+7),IF('BASE DE DATOS'!$G$4=2,(CU7+7)))</f>
        <v>46396</v>
      </c>
      <c r="CX7" s="118" t="s">
        <v>21</v>
      </c>
      <c r="CY7" s="119"/>
      <c r="CZ7" s="118" t="s">
        <v>22</v>
      </c>
      <c r="DA7" s="117"/>
      <c r="DB7" s="118" t="s">
        <v>23</v>
      </c>
      <c r="DC7" s="119"/>
      <c r="DD7" s="118" t="s">
        <v>24</v>
      </c>
      <c r="DE7" s="119"/>
      <c r="DF7" s="118" t="s">
        <v>25</v>
      </c>
      <c r="DG7" s="119"/>
      <c r="DH7" s="118" t="s">
        <v>26</v>
      </c>
      <c r="DI7" s="119"/>
      <c r="DJ7" s="118" t="s">
        <v>27</v>
      </c>
      <c r="DK7" s="119"/>
      <c r="DL7" s="118" t="s">
        <v>28</v>
      </c>
      <c r="DM7" s="119"/>
      <c r="DN7" s="118" t="s">
        <v>29</v>
      </c>
      <c r="DO7" s="119"/>
      <c r="DP7" s="118" t="s">
        <v>30</v>
      </c>
      <c r="DQ7" s="119"/>
      <c r="DR7" s="118" t="s">
        <v>31</v>
      </c>
      <c r="DS7" s="119"/>
      <c r="DT7" s="118" t="s">
        <v>32</v>
      </c>
      <c r="DU7" s="119"/>
      <c r="DV7" s="120" t="s">
        <v>33</v>
      </c>
      <c r="DW7" s="117"/>
    </row>
    <row r="8" spans="1:129" ht="30.75" customHeight="1">
      <c r="A8" s="13" t="s">
        <v>34</v>
      </c>
      <c r="B8" s="14" t="s">
        <v>35</v>
      </c>
      <c r="C8" s="15" t="s">
        <v>36</v>
      </c>
      <c r="D8" s="71" t="s">
        <v>37</v>
      </c>
      <c r="E8" s="71" t="s">
        <v>38</v>
      </c>
      <c r="F8" s="71" t="s">
        <v>39</v>
      </c>
      <c r="G8" s="16" t="s">
        <v>40</v>
      </c>
      <c r="H8" s="16" t="s">
        <v>11</v>
      </c>
      <c r="I8" s="16" t="s">
        <v>13</v>
      </c>
      <c r="J8" s="16" t="s">
        <v>41</v>
      </c>
      <c r="K8" s="16" t="s">
        <v>42</v>
      </c>
      <c r="L8" s="16" t="s">
        <v>43</v>
      </c>
      <c r="M8" s="16" t="s">
        <v>44</v>
      </c>
      <c r="N8" s="16" t="s">
        <v>45</v>
      </c>
      <c r="O8" s="17" t="s">
        <v>46</v>
      </c>
      <c r="P8" s="18">
        <f>D7</f>
        <v>46101</v>
      </c>
      <c r="Q8" s="18">
        <f>F7</f>
        <v>46102</v>
      </c>
      <c r="R8" s="18">
        <f t="shared" ref="R8:CW8" si="1">P8+7</f>
        <v>46108</v>
      </c>
      <c r="S8" s="18">
        <f t="shared" si="1"/>
        <v>46109</v>
      </c>
      <c r="T8" s="18">
        <f t="shared" si="1"/>
        <v>46115</v>
      </c>
      <c r="U8" s="18">
        <f t="shared" si="1"/>
        <v>46116</v>
      </c>
      <c r="V8" s="18">
        <f t="shared" si="1"/>
        <v>46122</v>
      </c>
      <c r="W8" s="18">
        <f t="shared" si="1"/>
        <v>46123</v>
      </c>
      <c r="X8" s="18">
        <f t="shared" si="1"/>
        <v>46129</v>
      </c>
      <c r="Y8" s="18">
        <f t="shared" si="1"/>
        <v>46130</v>
      </c>
      <c r="Z8" s="18">
        <f t="shared" si="1"/>
        <v>46136</v>
      </c>
      <c r="AA8" s="18">
        <f t="shared" si="1"/>
        <v>46137</v>
      </c>
      <c r="AB8" s="18">
        <f t="shared" si="1"/>
        <v>46143</v>
      </c>
      <c r="AC8" s="18">
        <f t="shared" si="1"/>
        <v>46144</v>
      </c>
      <c r="AD8" s="18">
        <f t="shared" si="1"/>
        <v>46150</v>
      </c>
      <c r="AE8" s="18">
        <f t="shared" si="1"/>
        <v>46151</v>
      </c>
      <c r="AF8" s="18">
        <f t="shared" si="1"/>
        <v>46157</v>
      </c>
      <c r="AG8" s="18">
        <f t="shared" si="1"/>
        <v>46158</v>
      </c>
      <c r="AH8" s="18">
        <f t="shared" si="1"/>
        <v>46164</v>
      </c>
      <c r="AI8" s="18">
        <f t="shared" si="1"/>
        <v>46165</v>
      </c>
      <c r="AJ8" s="18">
        <f t="shared" si="1"/>
        <v>46171</v>
      </c>
      <c r="AK8" s="18">
        <f t="shared" si="1"/>
        <v>46172</v>
      </c>
      <c r="AL8" s="18">
        <f t="shared" si="1"/>
        <v>46178</v>
      </c>
      <c r="AM8" s="18">
        <f t="shared" si="1"/>
        <v>46179</v>
      </c>
      <c r="AN8" s="18">
        <f t="shared" si="1"/>
        <v>46185</v>
      </c>
      <c r="AO8" s="18">
        <f t="shared" si="1"/>
        <v>46186</v>
      </c>
      <c r="AP8" s="18">
        <f t="shared" si="1"/>
        <v>46192</v>
      </c>
      <c r="AQ8" s="18">
        <f t="shared" si="1"/>
        <v>46193</v>
      </c>
      <c r="AR8" s="18">
        <f t="shared" si="1"/>
        <v>46199</v>
      </c>
      <c r="AS8" s="18">
        <f t="shared" si="1"/>
        <v>46200</v>
      </c>
      <c r="AT8" s="18">
        <f t="shared" si="1"/>
        <v>46206</v>
      </c>
      <c r="AU8" s="18">
        <f t="shared" si="1"/>
        <v>46207</v>
      </c>
      <c r="AV8" s="18">
        <f t="shared" si="1"/>
        <v>46213</v>
      </c>
      <c r="AW8" s="18">
        <f t="shared" si="1"/>
        <v>46214</v>
      </c>
      <c r="AX8" s="18">
        <f t="shared" si="1"/>
        <v>46220</v>
      </c>
      <c r="AY8" s="18">
        <f t="shared" si="1"/>
        <v>46221</v>
      </c>
      <c r="AZ8" s="18">
        <f t="shared" si="1"/>
        <v>46227</v>
      </c>
      <c r="BA8" s="18">
        <f t="shared" si="1"/>
        <v>46228</v>
      </c>
      <c r="BB8" s="18">
        <f t="shared" si="1"/>
        <v>46234</v>
      </c>
      <c r="BC8" s="18">
        <f t="shared" si="1"/>
        <v>46235</v>
      </c>
      <c r="BD8" s="18">
        <f t="shared" si="1"/>
        <v>46241</v>
      </c>
      <c r="BE8" s="18">
        <f t="shared" si="1"/>
        <v>46242</v>
      </c>
      <c r="BF8" s="18">
        <f t="shared" si="1"/>
        <v>46248</v>
      </c>
      <c r="BG8" s="18">
        <f t="shared" si="1"/>
        <v>46249</v>
      </c>
      <c r="BH8" s="18">
        <f t="shared" si="1"/>
        <v>46255</v>
      </c>
      <c r="BI8" s="18">
        <f t="shared" si="1"/>
        <v>46256</v>
      </c>
      <c r="BJ8" s="18">
        <f t="shared" si="1"/>
        <v>46262</v>
      </c>
      <c r="BK8" s="18">
        <f t="shared" si="1"/>
        <v>46263</v>
      </c>
      <c r="BL8" s="18">
        <f t="shared" si="1"/>
        <v>46269</v>
      </c>
      <c r="BM8" s="18">
        <f t="shared" si="1"/>
        <v>46270</v>
      </c>
      <c r="BN8" s="18">
        <f t="shared" si="1"/>
        <v>46276</v>
      </c>
      <c r="BO8" s="18">
        <f t="shared" si="1"/>
        <v>46277</v>
      </c>
      <c r="BP8" s="18">
        <f t="shared" si="1"/>
        <v>46283</v>
      </c>
      <c r="BQ8" s="18">
        <f t="shared" si="1"/>
        <v>46284</v>
      </c>
      <c r="BR8" s="18">
        <f t="shared" si="1"/>
        <v>46290</v>
      </c>
      <c r="BS8" s="18">
        <f t="shared" si="1"/>
        <v>46291</v>
      </c>
      <c r="BT8" s="18">
        <f t="shared" si="1"/>
        <v>46297</v>
      </c>
      <c r="BU8" s="18">
        <f t="shared" si="1"/>
        <v>46298</v>
      </c>
      <c r="BV8" s="18">
        <f t="shared" si="1"/>
        <v>46304</v>
      </c>
      <c r="BW8" s="18">
        <f t="shared" si="1"/>
        <v>46305</v>
      </c>
      <c r="BX8" s="18">
        <f t="shared" si="1"/>
        <v>46311</v>
      </c>
      <c r="BY8" s="18">
        <f t="shared" si="1"/>
        <v>46312</v>
      </c>
      <c r="BZ8" s="18">
        <f t="shared" si="1"/>
        <v>46318</v>
      </c>
      <c r="CA8" s="18">
        <f t="shared" si="1"/>
        <v>46319</v>
      </c>
      <c r="CB8" s="18">
        <f t="shared" si="1"/>
        <v>46325</v>
      </c>
      <c r="CC8" s="18">
        <f t="shared" si="1"/>
        <v>46326</v>
      </c>
      <c r="CD8" s="18">
        <f t="shared" si="1"/>
        <v>46332</v>
      </c>
      <c r="CE8" s="18">
        <f t="shared" si="1"/>
        <v>46333</v>
      </c>
      <c r="CF8" s="18">
        <f t="shared" si="1"/>
        <v>46339</v>
      </c>
      <c r="CG8" s="18">
        <f t="shared" si="1"/>
        <v>46340</v>
      </c>
      <c r="CH8" s="18">
        <f t="shared" si="1"/>
        <v>46346</v>
      </c>
      <c r="CI8" s="18">
        <f t="shared" si="1"/>
        <v>46347</v>
      </c>
      <c r="CJ8" s="18">
        <f t="shared" si="1"/>
        <v>46353</v>
      </c>
      <c r="CK8" s="18">
        <f t="shared" si="1"/>
        <v>46354</v>
      </c>
      <c r="CL8" s="18">
        <f t="shared" si="1"/>
        <v>46360</v>
      </c>
      <c r="CM8" s="18">
        <f t="shared" si="1"/>
        <v>46361</v>
      </c>
      <c r="CN8" s="18">
        <f t="shared" si="1"/>
        <v>46367</v>
      </c>
      <c r="CO8" s="18">
        <f t="shared" si="1"/>
        <v>46368</v>
      </c>
      <c r="CP8" s="18">
        <f t="shared" si="1"/>
        <v>46374</v>
      </c>
      <c r="CQ8" s="18">
        <f t="shared" si="1"/>
        <v>46375</v>
      </c>
      <c r="CR8" s="18">
        <f t="shared" si="1"/>
        <v>46381</v>
      </c>
      <c r="CS8" s="18">
        <f t="shared" si="1"/>
        <v>46382</v>
      </c>
      <c r="CT8" s="18">
        <f t="shared" si="1"/>
        <v>46388</v>
      </c>
      <c r="CU8" s="18">
        <f t="shared" si="1"/>
        <v>46389</v>
      </c>
      <c r="CV8" s="18">
        <f t="shared" si="1"/>
        <v>46395</v>
      </c>
      <c r="CW8" s="18">
        <f t="shared" si="1"/>
        <v>46396</v>
      </c>
      <c r="CX8" s="19" t="s">
        <v>11</v>
      </c>
      <c r="CY8" s="20" t="s">
        <v>13</v>
      </c>
      <c r="CZ8" s="19" t="s">
        <v>11</v>
      </c>
      <c r="DA8" s="21" t="s">
        <v>13</v>
      </c>
      <c r="DB8" s="19" t="s">
        <v>11</v>
      </c>
      <c r="DC8" s="20" t="s">
        <v>13</v>
      </c>
      <c r="DD8" s="19" t="s">
        <v>11</v>
      </c>
      <c r="DE8" s="20" t="s">
        <v>13</v>
      </c>
      <c r="DF8" s="19" t="s">
        <v>11</v>
      </c>
      <c r="DG8" s="20" t="s">
        <v>13</v>
      </c>
      <c r="DH8" s="19" t="s">
        <v>11</v>
      </c>
      <c r="DI8" s="20" t="s">
        <v>13</v>
      </c>
      <c r="DJ8" s="19" t="s">
        <v>11</v>
      </c>
      <c r="DK8" s="20" t="s">
        <v>13</v>
      </c>
      <c r="DL8" s="19" t="s">
        <v>11</v>
      </c>
      <c r="DM8" s="20" t="s">
        <v>13</v>
      </c>
      <c r="DN8" s="19" t="s">
        <v>11</v>
      </c>
      <c r="DO8" s="20" t="s">
        <v>13</v>
      </c>
      <c r="DP8" s="19" t="s">
        <v>11</v>
      </c>
      <c r="DQ8" s="20" t="s">
        <v>13</v>
      </c>
      <c r="DR8" s="19" t="s">
        <v>11</v>
      </c>
      <c r="DS8" s="20" t="s">
        <v>13</v>
      </c>
      <c r="DT8" s="19" t="s">
        <v>11</v>
      </c>
      <c r="DU8" s="20" t="s">
        <v>13</v>
      </c>
      <c r="DV8" s="22" t="s">
        <v>11</v>
      </c>
      <c r="DW8" s="23" t="s">
        <v>13</v>
      </c>
      <c r="DY8" s="24" t="s">
        <v>47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1145225853</v>
      </c>
      <c r="D9" s="28" t="str">
        <f>'BASE DE DATOS'!B10</f>
        <v>EMILY ALEXANDRA AGUILAR CASTELLANOS</v>
      </c>
      <c r="E9" s="29" t="s">
        <v>48</v>
      </c>
      <c r="F9" s="30" t="str">
        <f t="shared" ref="F9:F37" si="2">IF(I9=0,"",IF(I9&gt;=5,"FALTAS INTERMITENTES",IF(I9&gt;=3,"REVISAR FALTAS",IF(AND(I9&lt;3,I9&gt;0),"CON FALTAS"))))</f>
        <v/>
      </c>
      <c r="G9" s="31">
        <f t="shared" ref="G9:G37" si="3">COUNTIF(P9:CR9,"A")</f>
        <v>2</v>
      </c>
      <c r="H9" s="32">
        <f t="shared" ref="H9:H37" si="4">COUNTIF(P9:CR9,"CE")</f>
        <v>0</v>
      </c>
      <c r="I9" s="32">
        <f t="shared" ref="I9:I37" si="5">COUNTIF(P9:CR9,"SE")</f>
        <v>0</v>
      </c>
      <c r="J9" s="32">
        <f t="shared" ref="J9:J37" si="6">COUNTIF(P9:CR9,"INC")</f>
        <v>0</v>
      </c>
      <c r="K9" s="32">
        <f t="shared" ref="K9:K37" si="7">COUNTIF(P9:CR9,"LIC")</f>
        <v>0</v>
      </c>
      <c r="L9" s="32">
        <f t="shared" ref="L9:L37" si="8">COUNTIF(P9:CR9,"CLM")</f>
        <v>0</v>
      </c>
      <c r="M9" s="32">
        <f t="shared" ref="M9:M37" si="9">COUNTIF(P9:IA9,"SFF")</f>
        <v>0</v>
      </c>
      <c r="N9" s="33">
        <f t="shared" ref="N9:N37" si="10">COUNTIF(P9:CR9,"RET")</f>
        <v>0</v>
      </c>
      <c r="O9" s="34">
        <f t="shared" ref="O9:O37" si="11">IFERROR(SUM(H9:K9)/SUM(G9:K9)," ")</f>
        <v>0</v>
      </c>
      <c r="P9" s="35" t="s">
        <v>40</v>
      </c>
      <c r="Q9" s="35" t="s">
        <v>40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49</v>
      </c>
    </row>
    <row r="10" spans="1:129" ht="15.75" customHeight="1">
      <c r="A10" s="25">
        <f>A9+1</f>
        <v>2</v>
      </c>
      <c r="B10" s="26" t="str">
        <f>'BASE DE DATOS'!C11</f>
        <v>TI</v>
      </c>
      <c r="C10" s="27">
        <f>'BASE DE DATOS'!D11</f>
        <v>1145225854</v>
      </c>
      <c r="D10" s="28" t="str">
        <f>'BASE DE DATOS'!B11</f>
        <v>ALISON DAYANNA AGUILAR CASTELLANOS</v>
      </c>
      <c r="E10" s="29" t="s">
        <v>48</v>
      </c>
      <c r="F10" s="30" t="str">
        <f t="shared" si="2"/>
        <v/>
      </c>
      <c r="G10" s="40">
        <f t="shared" si="3"/>
        <v>2</v>
      </c>
      <c r="H10" s="41">
        <f t="shared" si="4"/>
        <v>0</v>
      </c>
      <c r="I10" s="41">
        <f t="shared" si="5"/>
        <v>0</v>
      </c>
      <c r="J10" s="41">
        <f t="shared" si="6"/>
        <v>0</v>
      </c>
      <c r="K10" s="41">
        <f t="shared" si="7"/>
        <v>0</v>
      </c>
      <c r="L10" s="41">
        <f t="shared" si="8"/>
        <v>0</v>
      </c>
      <c r="M10" s="32">
        <f t="shared" si="9"/>
        <v>0</v>
      </c>
      <c r="N10" s="33">
        <f t="shared" si="10"/>
        <v>0</v>
      </c>
      <c r="O10" s="42">
        <f t="shared" si="11"/>
        <v>0</v>
      </c>
      <c r="P10" s="35" t="s">
        <v>40</v>
      </c>
      <c r="Q10" s="35" t="s">
        <v>40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3">CX10+CZ10+DB10+DD10+DF10+DH10+DJ10+DL10+DN10+DP10+DR10+DT10</f>
        <v>0</v>
      </c>
      <c r="DW10" s="38">
        <f t="shared" si="13"/>
        <v>0</v>
      </c>
      <c r="DY10" s="39" t="s">
        <v>50</v>
      </c>
    </row>
    <row r="11" spans="1:129" ht="15.75" customHeight="1">
      <c r="A11" s="25">
        <f t="shared" ref="A11:A43" si="14">A10+1</f>
        <v>3</v>
      </c>
      <c r="B11" s="26" t="str">
        <f>'BASE DE DATOS'!C12</f>
        <v>TI</v>
      </c>
      <c r="C11" s="27">
        <f>'BASE DE DATOS'!D12</f>
        <v>1019068647</v>
      </c>
      <c r="D11" s="28" t="str">
        <f>'BASE DE DATOS'!B12</f>
        <v>ISABEL SOFIA ARIZA PEERPIÑAN</v>
      </c>
      <c r="E11" s="29" t="s">
        <v>48</v>
      </c>
      <c r="F11" s="30" t="str">
        <f t="shared" si="2"/>
        <v/>
      </c>
      <c r="G11" s="40">
        <f t="shared" si="3"/>
        <v>2</v>
      </c>
      <c r="H11" s="41">
        <f t="shared" si="4"/>
        <v>0</v>
      </c>
      <c r="I11" s="41">
        <f t="shared" si="5"/>
        <v>0</v>
      </c>
      <c r="J11" s="41">
        <f t="shared" si="6"/>
        <v>0</v>
      </c>
      <c r="K11" s="41">
        <f t="shared" si="7"/>
        <v>0</v>
      </c>
      <c r="L11" s="41">
        <f t="shared" si="8"/>
        <v>0</v>
      </c>
      <c r="M11" s="32">
        <f t="shared" si="9"/>
        <v>0</v>
      </c>
      <c r="N11" s="33">
        <f t="shared" si="10"/>
        <v>0</v>
      </c>
      <c r="O11" s="42">
        <f t="shared" si="11"/>
        <v>0</v>
      </c>
      <c r="P11" s="35" t="s">
        <v>40</v>
      </c>
      <c r="Q11" s="35" t="s">
        <v>40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51</v>
      </c>
    </row>
    <row r="12" spans="1:129" ht="15.75" customHeight="1">
      <c r="A12" s="25">
        <f t="shared" si="14"/>
        <v>4</v>
      </c>
      <c r="B12" s="26" t="str">
        <f>'BASE DE DATOS'!C13</f>
        <v>TI</v>
      </c>
      <c r="C12" s="27">
        <f>'BASE DE DATOS'!D13</f>
        <v>1015437646</v>
      </c>
      <c r="D12" s="28" t="str">
        <f>'BASE DE DATOS'!B13</f>
        <v>SANTIAGO BENAVIDES BENAVIDES</v>
      </c>
      <c r="E12" s="29" t="s">
        <v>48</v>
      </c>
      <c r="F12" s="30" t="str">
        <f t="shared" si="2"/>
        <v/>
      </c>
      <c r="G12" s="40">
        <f t="shared" si="3"/>
        <v>2</v>
      </c>
      <c r="H12" s="41">
        <f t="shared" si="4"/>
        <v>0</v>
      </c>
      <c r="I12" s="41">
        <f t="shared" si="5"/>
        <v>0</v>
      </c>
      <c r="J12" s="41">
        <f t="shared" si="6"/>
        <v>0</v>
      </c>
      <c r="K12" s="41">
        <f t="shared" si="7"/>
        <v>0</v>
      </c>
      <c r="L12" s="41">
        <f t="shared" si="8"/>
        <v>0</v>
      </c>
      <c r="M12" s="32">
        <f t="shared" si="9"/>
        <v>0</v>
      </c>
      <c r="N12" s="33">
        <f t="shared" si="10"/>
        <v>0</v>
      </c>
      <c r="O12" s="42">
        <f t="shared" si="11"/>
        <v>0</v>
      </c>
      <c r="P12" s="35" t="s">
        <v>40</v>
      </c>
      <c r="Q12" s="35" t="s">
        <v>40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52</v>
      </c>
    </row>
    <row r="13" spans="1:129" ht="15.75" customHeight="1">
      <c r="A13" s="25">
        <f t="shared" si="14"/>
        <v>5</v>
      </c>
      <c r="B13" s="26" t="str">
        <f>'BASE DE DATOS'!C14</f>
        <v>TI</v>
      </c>
      <c r="C13" s="27">
        <f>'BASE DE DATOS'!D14</f>
        <v>1141123667</v>
      </c>
      <c r="D13" s="28" t="str">
        <f>'BASE DE DATOS'!B14</f>
        <v>NICOL DAYANA BENJUMEA LOPEZ</v>
      </c>
      <c r="E13" s="29" t="s">
        <v>48</v>
      </c>
      <c r="F13" s="30" t="str">
        <f t="shared" si="2"/>
        <v/>
      </c>
      <c r="G13" s="40">
        <f t="shared" si="3"/>
        <v>2</v>
      </c>
      <c r="H13" s="41">
        <f t="shared" si="4"/>
        <v>0</v>
      </c>
      <c r="I13" s="41">
        <f t="shared" si="5"/>
        <v>0</v>
      </c>
      <c r="J13" s="41">
        <f t="shared" si="6"/>
        <v>0</v>
      </c>
      <c r="K13" s="41">
        <f t="shared" si="7"/>
        <v>0</v>
      </c>
      <c r="L13" s="41">
        <f t="shared" si="8"/>
        <v>0</v>
      </c>
      <c r="M13" s="32">
        <f t="shared" si="9"/>
        <v>0</v>
      </c>
      <c r="N13" s="33">
        <f t="shared" si="10"/>
        <v>0</v>
      </c>
      <c r="O13" s="42">
        <f t="shared" si="11"/>
        <v>0</v>
      </c>
      <c r="P13" s="35" t="s">
        <v>40</v>
      </c>
      <c r="Q13" s="35" t="s">
        <v>40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53</v>
      </c>
    </row>
    <row r="14" spans="1:129" ht="15" customHeight="1">
      <c r="A14" s="25">
        <f t="shared" si="14"/>
        <v>6</v>
      </c>
      <c r="B14" s="26" t="str">
        <f>'BASE DE DATOS'!C15</f>
        <v>CC</v>
      </c>
      <c r="C14" s="27">
        <f>'BASE DE DATOS'!D15</f>
        <v>1014206476</v>
      </c>
      <c r="D14" s="28" t="str">
        <f>'BASE DE DATOS'!B15</f>
        <v>ANDRES FELIPE CABRERA ZAMORA</v>
      </c>
      <c r="E14" s="29" t="s">
        <v>48</v>
      </c>
      <c r="F14" s="30" t="str">
        <f t="shared" si="2"/>
        <v/>
      </c>
      <c r="G14" s="40">
        <f t="shared" si="3"/>
        <v>2</v>
      </c>
      <c r="H14" s="41">
        <f t="shared" si="4"/>
        <v>0</v>
      </c>
      <c r="I14" s="41">
        <f t="shared" si="5"/>
        <v>0</v>
      </c>
      <c r="J14" s="41">
        <f t="shared" si="6"/>
        <v>0</v>
      </c>
      <c r="K14" s="41">
        <f t="shared" si="7"/>
        <v>0</v>
      </c>
      <c r="L14" s="41">
        <f t="shared" si="8"/>
        <v>0</v>
      </c>
      <c r="M14" s="32">
        <f t="shared" si="9"/>
        <v>0</v>
      </c>
      <c r="N14" s="33">
        <f t="shared" si="10"/>
        <v>0</v>
      </c>
      <c r="O14" s="42">
        <f t="shared" si="11"/>
        <v>0</v>
      </c>
      <c r="P14" s="35" t="s">
        <v>40</v>
      </c>
      <c r="Q14" s="35" t="s">
        <v>40</v>
      </c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54</v>
      </c>
    </row>
    <row r="15" spans="1:129" ht="15.75" customHeight="1">
      <c r="A15" s="25">
        <f t="shared" si="14"/>
        <v>7</v>
      </c>
      <c r="B15" s="26" t="str">
        <f>'BASE DE DATOS'!C16</f>
        <v>TI</v>
      </c>
      <c r="C15" s="27">
        <f>'BASE DE DATOS'!D16</f>
        <v>1141120978</v>
      </c>
      <c r="D15" s="28" t="str">
        <f>'BASE DE DATOS'!B16</f>
        <v>YULIETH VALENTINA CAICEDO SALCEDO</v>
      </c>
      <c r="E15" s="29" t="s">
        <v>48</v>
      </c>
      <c r="F15" s="30" t="str">
        <f t="shared" si="2"/>
        <v/>
      </c>
      <c r="G15" s="40">
        <f t="shared" si="3"/>
        <v>2</v>
      </c>
      <c r="H15" s="41">
        <f t="shared" si="4"/>
        <v>0</v>
      </c>
      <c r="I15" s="41">
        <f t="shared" si="5"/>
        <v>0</v>
      </c>
      <c r="J15" s="41">
        <f t="shared" si="6"/>
        <v>0</v>
      </c>
      <c r="K15" s="41">
        <f t="shared" si="7"/>
        <v>0</v>
      </c>
      <c r="L15" s="41">
        <f t="shared" si="8"/>
        <v>0</v>
      </c>
      <c r="M15" s="32">
        <f t="shared" si="9"/>
        <v>0</v>
      </c>
      <c r="N15" s="33">
        <f t="shared" si="10"/>
        <v>0</v>
      </c>
      <c r="O15" s="42">
        <f t="shared" si="11"/>
        <v>0</v>
      </c>
      <c r="P15" s="35" t="s">
        <v>40</v>
      </c>
      <c r="Q15" s="35" t="s">
        <v>40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55</v>
      </c>
    </row>
    <row r="16" spans="1:129" ht="15.75" customHeight="1">
      <c r="A16" s="25">
        <f t="shared" si="14"/>
        <v>8</v>
      </c>
      <c r="B16" s="26" t="str">
        <f>'BASE DE DATOS'!C17</f>
        <v>TI</v>
      </c>
      <c r="C16" s="27">
        <f>'BASE DE DATOS'!D17</f>
        <v>1028493847</v>
      </c>
      <c r="D16" s="28" t="str">
        <f>'BASE DE DATOS'!B17</f>
        <v>MARIANA SOFIA CANGREJO CRUZ</v>
      </c>
      <c r="E16" s="29" t="s">
        <v>48</v>
      </c>
      <c r="F16" s="30" t="str">
        <f t="shared" si="2"/>
        <v/>
      </c>
      <c r="G16" s="40">
        <f t="shared" si="3"/>
        <v>2</v>
      </c>
      <c r="H16" s="41">
        <f t="shared" si="4"/>
        <v>0</v>
      </c>
      <c r="I16" s="41">
        <f t="shared" si="5"/>
        <v>0</v>
      </c>
      <c r="J16" s="41">
        <f t="shared" si="6"/>
        <v>0</v>
      </c>
      <c r="K16" s="41">
        <f t="shared" si="7"/>
        <v>0</v>
      </c>
      <c r="L16" s="41">
        <f t="shared" si="8"/>
        <v>0</v>
      </c>
      <c r="M16" s="32">
        <f t="shared" si="9"/>
        <v>0</v>
      </c>
      <c r="N16" s="33">
        <f t="shared" si="10"/>
        <v>0</v>
      </c>
      <c r="O16" s="42">
        <f t="shared" si="11"/>
        <v>0</v>
      </c>
      <c r="P16" s="35" t="s">
        <v>40</v>
      </c>
      <c r="Q16" s="35" t="s">
        <v>40</v>
      </c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56</v>
      </c>
    </row>
    <row r="17" spans="1:129" ht="15.75" customHeight="1">
      <c r="A17" s="25">
        <f t="shared" si="14"/>
        <v>9</v>
      </c>
      <c r="B17" s="26" t="str">
        <f>'BASE DE DATOS'!C18</f>
        <v>TI</v>
      </c>
      <c r="C17" s="27">
        <f>'BASE DE DATOS'!D18</f>
        <v>1031825573</v>
      </c>
      <c r="D17" s="28" t="str">
        <f>'BASE DE DATOS'!B18</f>
        <v>LAURA VALENTINA CAPACHO SALAZAR</v>
      </c>
      <c r="E17" s="29" t="s">
        <v>48</v>
      </c>
      <c r="F17" s="30" t="str">
        <f t="shared" si="2"/>
        <v/>
      </c>
      <c r="G17" s="40">
        <f t="shared" si="3"/>
        <v>2</v>
      </c>
      <c r="H17" s="41">
        <f t="shared" si="4"/>
        <v>0</v>
      </c>
      <c r="I17" s="41">
        <f t="shared" si="5"/>
        <v>0</v>
      </c>
      <c r="J17" s="41">
        <f t="shared" si="6"/>
        <v>0</v>
      </c>
      <c r="K17" s="41">
        <f t="shared" si="7"/>
        <v>0</v>
      </c>
      <c r="L17" s="41">
        <f t="shared" si="8"/>
        <v>0</v>
      </c>
      <c r="M17" s="32">
        <f t="shared" si="9"/>
        <v>0</v>
      </c>
      <c r="N17" s="33">
        <f t="shared" si="10"/>
        <v>0</v>
      </c>
      <c r="O17" s="42">
        <f t="shared" si="11"/>
        <v>0</v>
      </c>
      <c r="P17" s="35" t="s">
        <v>40</v>
      </c>
      <c r="Q17" s="35" t="s">
        <v>40</v>
      </c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57</v>
      </c>
    </row>
    <row r="18" spans="1:129" ht="15.75" customHeight="1">
      <c r="A18" s="25">
        <f t="shared" si="14"/>
        <v>10</v>
      </c>
      <c r="B18" s="26" t="str">
        <f>'BASE DE DATOS'!C19</f>
        <v>TI</v>
      </c>
      <c r="C18" s="27">
        <f>'BASE DE DATOS'!D19</f>
        <v>1145927122</v>
      </c>
      <c r="D18" s="28" t="str">
        <f>'BASE DE DATOS'!B19</f>
        <v>ALLISON SARITH CHAPPARRO VARGAS</v>
      </c>
      <c r="E18" s="29" t="s">
        <v>48</v>
      </c>
      <c r="F18" s="30" t="str">
        <f t="shared" si="2"/>
        <v/>
      </c>
      <c r="G18" s="40">
        <f t="shared" si="3"/>
        <v>2</v>
      </c>
      <c r="H18" s="41">
        <f t="shared" si="4"/>
        <v>0</v>
      </c>
      <c r="I18" s="41">
        <f t="shared" si="5"/>
        <v>0</v>
      </c>
      <c r="J18" s="41">
        <f t="shared" si="6"/>
        <v>0</v>
      </c>
      <c r="K18" s="41">
        <f t="shared" si="7"/>
        <v>0</v>
      </c>
      <c r="L18" s="41">
        <f t="shared" si="8"/>
        <v>0</v>
      </c>
      <c r="M18" s="32">
        <f t="shared" si="9"/>
        <v>0</v>
      </c>
      <c r="N18" s="33">
        <f t="shared" si="10"/>
        <v>0</v>
      </c>
      <c r="O18" s="42">
        <f t="shared" si="11"/>
        <v>0</v>
      </c>
      <c r="P18" s="35" t="s">
        <v>40</v>
      </c>
      <c r="Q18" s="35" t="s">
        <v>40</v>
      </c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58</v>
      </c>
    </row>
    <row r="19" spans="1:129" ht="15.75" customHeight="1">
      <c r="A19" s="25">
        <f t="shared" si="14"/>
        <v>11</v>
      </c>
      <c r="B19" s="26" t="str">
        <f>'BASE DE DATOS'!C20</f>
        <v>TI</v>
      </c>
      <c r="C19" s="27">
        <f>'BASE DE DATOS'!D20</f>
        <v>1141123455</v>
      </c>
      <c r="D19" s="28" t="str">
        <f>'BASE DE DATOS'!B20</f>
        <v>JULIAN DAVID CHAVES CASTAÑEDA</v>
      </c>
      <c r="E19" s="29" t="s">
        <v>48</v>
      </c>
      <c r="F19" s="30" t="str">
        <f t="shared" si="2"/>
        <v/>
      </c>
      <c r="G19" s="40">
        <f t="shared" si="3"/>
        <v>2</v>
      </c>
      <c r="H19" s="41">
        <f t="shared" si="4"/>
        <v>0</v>
      </c>
      <c r="I19" s="41">
        <f t="shared" si="5"/>
        <v>0</v>
      </c>
      <c r="J19" s="41">
        <f t="shared" si="6"/>
        <v>0</v>
      </c>
      <c r="K19" s="41">
        <f t="shared" si="7"/>
        <v>0</v>
      </c>
      <c r="L19" s="41">
        <f t="shared" si="8"/>
        <v>0</v>
      </c>
      <c r="M19" s="32">
        <f t="shared" si="9"/>
        <v>0</v>
      </c>
      <c r="N19" s="33">
        <f t="shared" si="10"/>
        <v>0</v>
      </c>
      <c r="O19" s="42">
        <f t="shared" si="11"/>
        <v>0</v>
      </c>
      <c r="P19" s="35" t="s">
        <v>40</v>
      </c>
      <c r="Q19" s="35" t="s">
        <v>40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59</v>
      </c>
    </row>
    <row r="20" spans="1:129" ht="15.75" customHeight="1">
      <c r="A20" s="25">
        <f t="shared" si="14"/>
        <v>12</v>
      </c>
      <c r="B20" s="26" t="str">
        <f>'BASE DE DATOS'!C21</f>
        <v>TI</v>
      </c>
      <c r="C20" s="27">
        <f>'BASE DE DATOS'!D21</f>
        <v>1072990502</v>
      </c>
      <c r="D20" s="28" t="str">
        <f>'BASE DE DATOS'!B21</f>
        <v>SANTIAGO DELGADO ROMERO</v>
      </c>
      <c r="E20" s="29" t="s">
        <v>48</v>
      </c>
      <c r="F20" s="30" t="str">
        <f t="shared" si="2"/>
        <v/>
      </c>
      <c r="G20" s="40">
        <f t="shared" si="3"/>
        <v>2</v>
      </c>
      <c r="H20" s="41">
        <f t="shared" si="4"/>
        <v>0</v>
      </c>
      <c r="I20" s="41">
        <f t="shared" si="5"/>
        <v>0</v>
      </c>
      <c r="J20" s="41">
        <f t="shared" si="6"/>
        <v>0</v>
      </c>
      <c r="K20" s="41">
        <f t="shared" si="7"/>
        <v>0</v>
      </c>
      <c r="L20" s="41">
        <f t="shared" si="8"/>
        <v>0</v>
      </c>
      <c r="M20" s="32">
        <f t="shared" si="9"/>
        <v>0</v>
      </c>
      <c r="N20" s="33">
        <f t="shared" si="10"/>
        <v>0</v>
      </c>
      <c r="O20" s="42">
        <f t="shared" si="11"/>
        <v>0</v>
      </c>
      <c r="P20" s="35" t="s">
        <v>40</v>
      </c>
      <c r="Q20" s="35" t="s">
        <v>40</v>
      </c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24">CX20+CZ20+DB20+DD20+DF20+DH20+DJ20+DL20+DN20+DP20+DR20+DT20</f>
        <v>0</v>
      </c>
      <c r="DW20" s="38">
        <f t="shared" si="24"/>
        <v>0</v>
      </c>
      <c r="DY20" s="39"/>
    </row>
    <row r="21" spans="1:129" ht="15.75" customHeight="1">
      <c r="A21" s="25">
        <f t="shared" si="14"/>
        <v>13</v>
      </c>
      <c r="B21" s="26" t="str">
        <f>'BASE DE DATOS'!C22</f>
        <v>TI</v>
      </c>
      <c r="C21" s="27">
        <f>'BASE DE DATOS'!D22</f>
        <v>1141121806</v>
      </c>
      <c r="D21" s="28" t="str">
        <f>'BASE DE DATOS'!B22</f>
        <v>DANIELA DIAZ CLAVIJO</v>
      </c>
      <c r="E21" s="29" t="s">
        <v>48</v>
      </c>
      <c r="F21" s="30" t="str">
        <f t="shared" si="2"/>
        <v/>
      </c>
      <c r="G21" s="40">
        <f t="shared" si="3"/>
        <v>2</v>
      </c>
      <c r="H21" s="41">
        <f t="shared" si="4"/>
        <v>0</v>
      </c>
      <c r="I21" s="41">
        <f t="shared" si="5"/>
        <v>0</v>
      </c>
      <c r="J21" s="41">
        <f t="shared" si="6"/>
        <v>0</v>
      </c>
      <c r="K21" s="41">
        <f t="shared" si="7"/>
        <v>0</v>
      </c>
      <c r="L21" s="41">
        <f t="shared" si="8"/>
        <v>0</v>
      </c>
      <c r="M21" s="32">
        <f t="shared" si="9"/>
        <v>0</v>
      </c>
      <c r="N21" s="33">
        <f t="shared" si="10"/>
        <v>0</v>
      </c>
      <c r="O21" s="42">
        <f t="shared" si="11"/>
        <v>0</v>
      </c>
      <c r="P21" s="35" t="s">
        <v>40</v>
      </c>
      <c r="Q21" s="35" t="s">
        <v>40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25">
        <f t="shared" si="14"/>
        <v>14</v>
      </c>
      <c r="B22" s="26" t="str">
        <f>'BASE DE DATOS'!C23</f>
        <v>TI</v>
      </c>
      <c r="C22" s="27">
        <f>'BASE DE DATOS'!D23</f>
        <v>1141121807</v>
      </c>
      <c r="D22" s="28" t="str">
        <f>'BASE DE DATOS'!B23</f>
        <v>JULIANA DIAZ CLAVIJO</v>
      </c>
      <c r="E22" s="29" t="s">
        <v>48</v>
      </c>
      <c r="F22" s="30" t="str">
        <f t="shared" si="2"/>
        <v/>
      </c>
      <c r="G22" s="40">
        <f t="shared" si="3"/>
        <v>2</v>
      </c>
      <c r="H22" s="41">
        <f t="shared" si="4"/>
        <v>0</v>
      </c>
      <c r="I22" s="41">
        <f t="shared" si="5"/>
        <v>0</v>
      </c>
      <c r="J22" s="41">
        <f t="shared" si="6"/>
        <v>0</v>
      </c>
      <c r="K22" s="41">
        <f t="shared" si="7"/>
        <v>0</v>
      </c>
      <c r="L22" s="41">
        <f t="shared" si="8"/>
        <v>0</v>
      </c>
      <c r="M22" s="32">
        <f t="shared" si="9"/>
        <v>0</v>
      </c>
      <c r="N22" s="33">
        <f t="shared" si="10"/>
        <v>0</v>
      </c>
      <c r="O22" s="42">
        <f t="shared" si="11"/>
        <v>0</v>
      </c>
      <c r="P22" s="35" t="s">
        <v>40</v>
      </c>
      <c r="Q22" s="35" t="s">
        <v>40</v>
      </c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25">
        <f t="shared" si="14"/>
        <v>15</v>
      </c>
      <c r="B23" s="26" t="str">
        <f>'BASE DE DATOS'!C24</f>
        <v>TI</v>
      </c>
      <c r="C23" s="27">
        <f>'BASE DE DATOS'!D24</f>
        <v>1016043063</v>
      </c>
      <c r="D23" s="28" t="str">
        <f>'BASE DE DATOS'!B24</f>
        <v>MARIANA ESPITIA DE LA CRUZ</v>
      </c>
      <c r="E23" s="29" t="s">
        <v>48</v>
      </c>
      <c r="F23" s="30" t="str">
        <f t="shared" si="2"/>
        <v/>
      </c>
      <c r="G23" s="40">
        <f t="shared" si="3"/>
        <v>2</v>
      </c>
      <c r="H23" s="41">
        <f t="shared" si="4"/>
        <v>0</v>
      </c>
      <c r="I23" s="41">
        <f t="shared" si="5"/>
        <v>0</v>
      </c>
      <c r="J23" s="41">
        <f t="shared" si="6"/>
        <v>0</v>
      </c>
      <c r="K23" s="41">
        <f t="shared" si="7"/>
        <v>0</v>
      </c>
      <c r="L23" s="41">
        <f t="shared" si="8"/>
        <v>0</v>
      </c>
      <c r="M23" s="32">
        <f t="shared" si="9"/>
        <v>0</v>
      </c>
      <c r="N23" s="33">
        <f t="shared" si="10"/>
        <v>0</v>
      </c>
      <c r="O23" s="42">
        <f t="shared" si="11"/>
        <v>0</v>
      </c>
      <c r="P23" s="35" t="s">
        <v>40</v>
      </c>
      <c r="Q23" s="35" t="s">
        <v>40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25">
        <f t="shared" si="14"/>
        <v>16</v>
      </c>
      <c r="B24" s="26" t="str">
        <f>'BASE DE DATOS'!C25</f>
        <v>TI</v>
      </c>
      <c r="C24" s="27">
        <f>'BASE DE DATOS'!D25</f>
        <v>1016033641</v>
      </c>
      <c r="D24" s="28" t="str">
        <f>'BASE DE DATOS'!B25</f>
        <v>ANGIE LIZETH HERNANDEZ MARTINEZ</v>
      </c>
      <c r="E24" s="29" t="s">
        <v>48</v>
      </c>
      <c r="F24" s="30" t="str">
        <f t="shared" si="2"/>
        <v/>
      </c>
      <c r="G24" s="40">
        <f t="shared" si="3"/>
        <v>2</v>
      </c>
      <c r="H24" s="41">
        <f t="shared" si="4"/>
        <v>0</v>
      </c>
      <c r="I24" s="41">
        <f t="shared" si="5"/>
        <v>0</v>
      </c>
      <c r="J24" s="41">
        <f t="shared" si="6"/>
        <v>0</v>
      </c>
      <c r="K24" s="41">
        <f t="shared" si="7"/>
        <v>0</v>
      </c>
      <c r="L24" s="41">
        <f t="shared" si="8"/>
        <v>0</v>
      </c>
      <c r="M24" s="32">
        <f t="shared" si="9"/>
        <v>0</v>
      </c>
      <c r="N24" s="33">
        <f t="shared" si="10"/>
        <v>0</v>
      </c>
      <c r="O24" s="42">
        <f t="shared" si="11"/>
        <v>0</v>
      </c>
      <c r="P24" s="35" t="s">
        <v>40</v>
      </c>
      <c r="Q24" s="35" t="s">
        <v>40</v>
      </c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25">
        <f t="shared" si="14"/>
        <v>17</v>
      </c>
      <c r="B25" s="26" t="str">
        <f>'BASE DE DATOS'!C26</f>
        <v>TI</v>
      </c>
      <c r="C25" s="27">
        <f>'BASE DE DATOS'!D26</f>
        <v>1028888399</v>
      </c>
      <c r="D25" s="28" t="str">
        <f>'BASE DE DATOS'!B26</f>
        <v>MARIA PAULA IBARRA SUAREZ</v>
      </c>
      <c r="E25" s="29" t="s">
        <v>48</v>
      </c>
      <c r="F25" s="30" t="str">
        <f t="shared" si="2"/>
        <v/>
      </c>
      <c r="G25" s="40">
        <f t="shared" si="3"/>
        <v>2</v>
      </c>
      <c r="H25" s="41">
        <f t="shared" si="4"/>
        <v>0</v>
      </c>
      <c r="I25" s="41">
        <f t="shared" si="5"/>
        <v>0</v>
      </c>
      <c r="J25" s="41">
        <f t="shared" si="6"/>
        <v>0</v>
      </c>
      <c r="K25" s="41">
        <f t="shared" si="7"/>
        <v>0</v>
      </c>
      <c r="L25" s="41">
        <f t="shared" si="8"/>
        <v>0</v>
      </c>
      <c r="M25" s="32">
        <f t="shared" si="9"/>
        <v>0</v>
      </c>
      <c r="N25" s="33">
        <f t="shared" si="10"/>
        <v>0</v>
      </c>
      <c r="O25" s="42">
        <f t="shared" si="11"/>
        <v>0</v>
      </c>
      <c r="P25" s="35" t="s">
        <v>40</v>
      </c>
      <c r="Q25" s="35" t="s">
        <v>40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25">
        <f t="shared" si="14"/>
        <v>18</v>
      </c>
      <c r="B26" s="26" t="str">
        <f>'BASE DE DATOS'!C27</f>
        <v>TI</v>
      </c>
      <c r="C26" s="27">
        <f>'BASE DE DATOS'!D27</f>
        <v>1016956103</v>
      </c>
      <c r="D26" s="28" t="str">
        <f>'BASE DE DATOS'!B27</f>
        <v>JULIETH SOFIA MARTINEZ NUMPAQUE</v>
      </c>
      <c r="E26" s="29" t="s">
        <v>48</v>
      </c>
      <c r="F26" s="30" t="str">
        <f t="shared" si="2"/>
        <v/>
      </c>
      <c r="G26" s="40">
        <f t="shared" si="3"/>
        <v>2</v>
      </c>
      <c r="H26" s="41">
        <f t="shared" si="4"/>
        <v>0</v>
      </c>
      <c r="I26" s="41">
        <f t="shared" si="5"/>
        <v>0</v>
      </c>
      <c r="J26" s="41">
        <f t="shared" si="6"/>
        <v>0</v>
      </c>
      <c r="K26" s="41">
        <f t="shared" si="7"/>
        <v>0</v>
      </c>
      <c r="L26" s="41">
        <f t="shared" si="8"/>
        <v>0</v>
      </c>
      <c r="M26" s="32">
        <f t="shared" si="9"/>
        <v>0</v>
      </c>
      <c r="N26" s="33">
        <f t="shared" si="10"/>
        <v>0</v>
      </c>
      <c r="O26" s="42">
        <f t="shared" si="11"/>
        <v>0</v>
      </c>
      <c r="P26" s="35" t="s">
        <v>40</v>
      </c>
      <c r="Q26" s="35" t="s">
        <v>40</v>
      </c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25">
        <f t="shared" si="14"/>
        <v>19</v>
      </c>
      <c r="B27" s="26" t="str">
        <f>'BASE DE DATOS'!C28</f>
        <v>TI</v>
      </c>
      <c r="C27" s="27">
        <f>'BASE DE DATOS'!D28</f>
        <v>1141125073</v>
      </c>
      <c r="D27" s="28" t="str">
        <f>'BASE DE DATOS'!B28</f>
        <v>JUAN DAVID MARTINEZMARTINEZ</v>
      </c>
      <c r="E27" s="29" t="s">
        <v>48</v>
      </c>
      <c r="F27" s="30" t="str">
        <f t="shared" si="2"/>
        <v/>
      </c>
      <c r="G27" s="40">
        <f t="shared" si="3"/>
        <v>2</v>
      </c>
      <c r="H27" s="41">
        <f t="shared" si="4"/>
        <v>0</v>
      </c>
      <c r="I27" s="41">
        <f t="shared" si="5"/>
        <v>0</v>
      </c>
      <c r="J27" s="41">
        <f t="shared" si="6"/>
        <v>0</v>
      </c>
      <c r="K27" s="41">
        <f t="shared" si="7"/>
        <v>0</v>
      </c>
      <c r="L27" s="41">
        <f t="shared" si="8"/>
        <v>0</v>
      </c>
      <c r="M27" s="32">
        <f t="shared" si="9"/>
        <v>0</v>
      </c>
      <c r="N27" s="33">
        <f t="shared" si="10"/>
        <v>0</v>
      </c>
      <c r="O27" s="42">
        <f t="shared" si="11"/>
        <v>0</v>
      </c>
      <c r="P27" s="35" t="s">
        <v>40</v>
      </c>
      <c r="Q27" s="35" t="s">
        <v>40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25">
        <f t="shared" si="14"/>
        <v>20</v>
      </c>
      <c r="B28" s="26" t="str">
        <f>'BASE DE DATOS'!C29</f>
        <v>TI</v>
      </c>
      <c r="C28" s="27">
        <f>'BASE DE DATOS'!D29</f>
        <v>1028944741</v>
      </c>
      <c r="D28" s="28" t="str">
        <f>'BASE DE DATOS'!B29</f>
        <v>JENNIFER ANDREA MATALLANA SANTAMARIA</v>
      </c>
      <c r="E28" s="29" t="s">
        <v>48</v>
      </c>
      <c r="F28" s="30" t="str">
        <f t="shared" si="2"/>
        <v/>
      </c>
      <c r="G28" s="40">
        <f t="shared" si="3"/>
        <v>2</v>
      </c>
      <c r="H28" s="41">
        <f t="shared" si="4"/>
        <v>0</v>
      </c>
      <c r="I28" s="41">
        <f t="shared" si="5"/>
        <v>0</v>
      </c>
      <c r="J28" s="41">
        <f t="shared" si="6"/>
        <v>0</v>
      </c>
      <c r="K28" s="41">
        <f t="shared" si="7"/>
        <v>0</v>
      </c>
      <c r="L28" s="41">
        <f t="shared" si="8"/>
        <v>0</v>
      </c>
      <c r="M28" s="32">
        <f t="shared" si="9"/>
        <v>0</v>
      </c>
      <c r="N28" s="33">
        <f t="shared" si="10"/>
        <v>0</v>
      </c>
      <c r="O28" s="42">
        <f t="shared" si="11"/>
        <v>0</v>
      </c>
      <c r="P28" s="35" t="s">
        <v>40</v>
      </c>
      <c r="Q28" s="35" t="s">
        <v>40</v>
      </c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25">
        <f t="shared" si="14"/>
        <v>21</v>
      </c>
      <c r="B29" s="26" t="str">
        <f>'BASE DE DATOS'!C30</f>
        <v>TI</v>
      </c>
      <c r="C29" s="27">
        <f>'BASE DE DATOS'!D30</f>
        <v>1016955950</v>
      </c>
      <c r="D29" s="28" t="str">
        <f>'BASE DE DATOS'!B30</f>
        <v>JOHAN ALEJANDRO MURCIA QUIJANO</v>
      </c>
      <c r="E29" s="29" t="s">
        <v>48</v>
      </c>
      <c r="F29" s="30" t="str">
        <f t="shared" si="2"/>
        <v/>
      </c>
      <c r="G29" s="40">
        <f t="shared" si="3"/>
        <v>2</v>
      </c>
      <c r="H29" s="41">
        <f t="shared" si="4"/>
        <v>0</v>
      </c>
      <c r="I29" s="41">
        <f t="shared" si="5"/>
        <v>0</v>
      </c>
      <c r="J29" s="41">
        <f t="shared" si="6"/>
        <v>0</v>
      </c>
      <c r="K29" s="41">
        <f t="shared" si="7"/>
        <v>0</v>
      </c>
      <c r="L29" s="41">
        <f t="shared" si="8"/>
        <v>0</v>
      </c>
      <c r="M29" s="32">
        <f t="shared" si="9"/>
        <v>0</v>
      </c>
      <c r="N29" s="33">
        <f t="shared" si="10"/>
        <v>0</v>
      </c>
      <c r="O29" s="42">
        <f t="shared" si="11"/>
        <v>0</v>
      </c>
      <c r="P29" s="35" t="s">
        <v>40</v>
      </c>
      <c r="Q29" s="35" t="s">
        <v>40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25">
        <f t="shared" si="14"/>
        <v>22</v>
      </c>
      <c r="B30" s="26" t="str">
        <f>'BASE DE DATOS'!C31</f>
        <v>TI</v>
      </c>
      <c r="C30" s="27">
        <f>'BASE DE DATOS'!D31</f>
        <v>1013648077</v>
      </c>
      <c r="D30" s="28" t="str">
        <f>'BASE DE DATOS'!B31</f>
        <v>SARA VALENTINA NONTOA GÓMEZ</v>
      </c>
      <c r="E30" s="29" t="s">
        <v>48</v>
      </c>
      <c r="F30" s="30" t="str">
        <f t="shared" si="2"/>
        <v/>
      </c>
      <c r="G30" s="40">
        <f t="shared" si="3"/>
        <v>2</v>
      </c>
      <c r="H30" s="41">
        <f t="shared" si="4"/>
        <v>0</v>
      </c>
      <c r="I30" s="41">
        <f t="shared" si="5"/>
        <v>0</v>
      </c>
      <c r="J30" s="41">
        <f t="shared" si="6"/>
        <v>0</v>
      </c>
      <c r="K30" s="41">
        <f t="shared" si="7"/>
        <v>0</v>
      </c>
      <c r="L30" s="41">
        <f t="shared" si="8"/>
        <v>0</v>
      </c>
      <c r="M30" s="32">
        <f t="shared" si="9"/>
        <v>0</v>
      </c>
      <c r="N30" s="33">
        <f t="shared" si="10"/>
        <v>0</v>
      </c>
      <c r="O30" s="42">
        <f t="shared" si="11"/>
        <v>0</v>
      </c>
      <c r="P30" s="35" t="s">
        <v>40</v>
      </c>
      <c r="Q30" s="35" t="s">
        <v>40</v>
      </c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34">CX30+CZ30+DB30+DD30+DF30+DH30+DJ30+DL30+DN30+DP30+DR30+DT30</f>
        <v>0</v>
      </c>
      <c r="DW30" s="38">
        <f t="shared" si="34"/>
        <v>0</v>
      </c>
    </row>
    <row r="31" spans="1:129" ht="15.75" customHeight="1">
      <c r="A31" s="25">
        <f t="shared" si="14"/>
        <v>23</v>
      </c>
      <c r="B31" s="26" t="str">
        <f>'BASE DE DATOS'!C32</f>
        <v>TI</v>
      </c>
      <c r="C31" s="27">
        <f>'BASE DE DATOS'!D32</f>
        <v>1070393748</v>
      </c>
      <c r="D31" s="28" t="str">
        <f>'BASE DE DATOS'!B32</f>
        <v>MARIA CAMILA ORTEGON PEREZ</v>
      </c>
      <c r="E31" s="29" t="s">
        <v>48</v>
      </c>
      <c r="F31" s="30" t="str">
        <f t="shared" si="2"/>
        <v/>
      </c>
      <c r="G31" s="40">
        <f t="shared" si="3"/>
        <v>2</v>
      </c>
      <c r="H31" s="41">
        <f t="shared" si="4"/>
        <v>0</v>
      </c>
      <c r="I31" s="41">
        <f t="shared" si="5"/>
        <v>0</v>
      </c>
      <c r="J31" s="41">
        <f t="shared" si="6"/>
        <v>0</v>
      </c>
      <c r="K31" s="41">
        <f t="shared" si="7"/>
        <v>0</v>
      </c>
      <c r="L31" s="41">
        <f t="shared" si="8"/>
        <v>0</v>
      </c>
      <c r="M31" s="32">
        <f t="shared" si="9"/>
        <v>0</v>
      </c>
      <c r="N31" s="33">
        <f t="shared" si="10"/>
        <v>0</v>
      </c>
      <c r="O31" s="42">
        <f t="shared" si="11"/>
        <v>0</v>
      </c>
      <c r="P31" s="35" t="s">
        <v>40</v>
      </c>
      <c r="Q31" s="35" t="s">
        <v>40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25">
        <f t="shared" si="14"/>
        <v>24</v>
      </c>
      <c r="B32" s="26" t="str">
        <f>'BASE DE DATOS'!C33</f>
        <v>CC</v>
      </c>
      <c r="C32" s="27">
        <f>'BASE DE DATOS'!D33</f>
        <v>1016953617</v>
      </c>
      <c r="D32" s="28" t="str">
        <f>'BASE DE DATOS'!B33</f>
        <v>ANTONY ORTIZ PALACIOS</v>
      </c>
      <c r="E32" s="29" t="s">
        <v>48</v>
      </c>
      <c r="F32" s="30" t="str">
        <f t="shared" si="2"/>
        <v/>
      </c>
      <c r="G32" s="40">
        <f t="shared" si="3"/>
        <v>2</v>
      </c>
      <c r="H32" s="41">
        <f t="shared" si="4"/>
        <v>0</v>
      </c>
      <c r="I32" s="41">
        <f t="shared" si="5"/>
        <v>0</v>
      </c>
      <c r="J32" s="41">
        <f t="shared" si="6"/>
        <v>0</v>
      </c>
      <c r="K32" s="41">
        <f t="shared" si="7"/>
        <v>0</v>
      </c>
      <c r="L32" s="41">
        <f t="shared" si="8"/>
        <v>0</v>
      </c>
      <c r="M32" s="32">
        <f t="shared" si="9"/>
        <v>0</v>
      </c>
      <c r="N32" s="33">
        <f t="shared" si="10"/>
        <v>0</v>
      </c>
      <c r="O32" s="42">
        <f t="shared" si="11"/>
        <v>0</v>
      </c>
      <c r="P32" s="35" t="s">
        <v>40</v>
      </c>
      <c r="Q32" s="35" t="s">
        <v>40</v>
      </c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25">
        <f t="shared" si="14"/>
        <v>25</v>
      </c>
      <c r="B33" s="26" t="str">
        <f>'BASE DE DATOS'!C34</f>
        <v>TI</v>
      </c>
      <c r="C33" s="27">
        <f>'BASE DE DATOS'!D34</f>
        <v>1030580520</v>
      </c>
      <c r="D33" s="28" t="str">
        <f>'BASE DE DATOS'!B34</f>
        <v>VALENTINA OSPINA ORTIZ</v>
      </c>
      <c r="E33" s="29" t="s">
        <v>48</v>
      </c>
      <c r="F33" s="30" t="str">
        <f t="shared" si="2"/>
        <v/>
      </c>
      <c r="G33" s="40">
        <f t="shared" si="3"/>
        <v>2</v>
      </c>
      <c r="H33" s="41">
        <f t="shared" si="4"/>
        <v>0</v>
      </c>
      <c r="I33" s="41">
        <f t="shared" si="5"/>
        <v>0</v>
      </c>
      <c r="J33" s="41">
        <f t="shared" si="6"/>
        <v>0</v>
      </c>
      <c r="K33" s="41">
        <f t="shared" si="7"/>
        <v>0</v>
      </c>
      <c r="L33" s="41">
        <f t="shared" si="8"/>
        <v>0</v>
      </c>
      <c r="M33" s="32">
        <f t="shared" si="9"/>
        <v>0</v>
      </c>
      <c r="N33" s="33">
        <f t="shared" si="10"/>
        <v>0</v>
      </c>
      <c r="O33" s="42">
        <f t="shared" si="11"/>
        <v>0</v>
      </c>
      <c r="P33" s="35" t="s">
        <v>40</v>
      </c>
      <c r="Q33" s="35" t="s">
        <v>40</v>
      </c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25">
        <f t="shared" si="14"/>
        <v>26</v>
      </c>
      <c r="B34" s="26" t="str">
        <f>'BASE DE DATOS'!C35</f>
        <v>TI</v>
      </c>
      <c r="C34" s="27">
        <f>'BASE DE DATOS'!D35</f>
        <v>1014877985</v>
      </c>
      <c r="D34" s="28" t="str">
        <f>'BASE DE DATOS'!B35</f>
        <v>ANA SOFIA PATIÑO CASTRO</v>
      </c>
      <c r="E34" s="29" t="s">
        <v>60</v>
      </c>
      <c r="F34" s="30" t="str">
        <f t="shared" si="2"/>
        <v/>
      </c>
      <c r="G34" s="40">
        <f t="shared" si="3"/>
        <v>2</v>
      </c>
      <c r="H34" s="41">
        <f t="shared" si="4"/>
        <v>0</v>
      </c>
      <c r="I34" s="41">
        <f t="shared" si="5"/>
        <v>0</v>
      </c>
      <c r="J34" s="41">
        <f t="shared" si="6"/>
        <v>0</v>
      </c>
      <c r="K34" s="41">
        <f t="shared" si="7"/>
        <v>0</v>
      </c>
      <c r="L34" s="41">
        <f t="shared" si="8"/>
        <v>0</v>
      </c>
      <c r="M34" s="32">
        <f t="shared" si="9"/>
        <v>0</v>
      </c>
      <c r="N34" s="33">
        <f t="shared" si="10"/>
        <v>0</v>
      </c>
      <c r="O34" s="42">
        <f t="shared" si="11"/>
        <v>0</v>
      </c>
      <c r="P34" s="35" t="s">
        <v>40</v>
      </c>
      <c r="Q34" s="35" t="s">
        <v>40</v>
      </c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25">
        <f t="shared" si="14"/>
        <v>27</v>
      </c>
      <c r="B35" s="26" t="str">
        <f>'BASE DE DATOS'!C36</f>
        <v>TI</v>
      </c>
      <c r="C35" s="27">
        <f>'BASE DE DATOS'!D36</f>
        <v>1141718299</v>
      </c>
      <c r="D35" s="28" t="str">
        <f>'BASE DE DATOS'!B36</f>
        <v>KAROL SAMANTA PINZON GRANADOS</v>
      </c>
      <c r="E35" s="29" t="s">
        <v>48</v>
      </c>
      <c r="F35" s="30" t="str">
        <f t="shared" si="2"/>
        <v/>
      </c>
      <c r="G35" s="40">
        <f t="shared" si="3"/>
        <v>2</v>
      </c>
      <c r="H35" s="41">
        <f t="shared" si="4"/>
        <v>0</v>
      </c>
      <c r="I35" s="41">
        <f t="shared" si="5"/>
        <v>0</v>
      </c>
      <c r="J35" s="41">
        <f t="shared" si="6"/>
        <v>0</v>
      </c>
      <c r="K35" s="41">
        <f t="shared" si="7"/>
        <v>0</v>
      </c>
      <c r="L35" s="41">
        <f t="shared" si="8"/>
        <v>0</v>
      </c>
      <c r="M35" s="32">
        <f t="shared" si="9"/>
        <v>0</v>
      </c>
      <c r="N35" s="33">
        <f t="shared" si="10"/>
        <v>0</v>
      </c>
      <c r="O35" s="42">
        <f t="shared" si="11"/>
        <v>0</v>
      </c>
      <c r="P35" s="35" t="s">
        <v>40</v>
      </c>
      <c r="Q35" s="35" t="s">
        <v>40</v>
      </c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25">
        <f t="shared" si="14"/>
        <v>28</v>
      </c>
      <c r="B36" s="26" t="str">
        <f>'BASE DE DATOS'!C37</f>
        <v>CC</v>
      </c>
      <c r="C36" s="27">
        <v>1067956254</v>
      </c>
      <c r="D36" s="28" t="str">
        <f>'BASE DE DATOS'!B37</f>
        <v>DANA VALENTINA QUIJANO CORONADO</v>
      </c>
      <c r="E36" s="29" t="s">
        <v>48</v>
      </c>
      <c r="F36" s="30" t="str">
        <f t="shared" si="2"/>
        <v/>
      </c>
      <c r="G36" s="40">
        <f t="shared" si="3"/>
        <v>2</v>
      </c>
      <c r="H36" s="41">
        <f t="shared" si="4"/>
        <v>0</v>
      </c>
      <c r="I36" s="41">
        <f t="shared" si="5"/>
        <v>0</v>
      </c>
      <c r="J36" s="41">
        <f t="shared" si="6"/>
        <v>0</v>
      </c>
      <c r="K36" s="41">
        <f t="shared" si="7"/>
        <v>0</v>
      </c>
      <c r="L36" s="41">
        <f t="shared" si="8"/>
        <v>0</v>
      </c>
      <c r="M36" s="32">
        <f t="shared" si="9"/>
        <v>0</v>
      </c>
      <c r="N36" s="33">
        <f t="shared" si="10"/>
        <v>0</v>
      </c>
      <c r="O36" s="42">
        <f t="shared" si="11"/>
        <v>0</v>
      </c>
      <c r="P36" s="35" t="s">
        <v>40</v>
      </c>
      <c r="Q36" s="35" t="s">
        <v>40</v>
      </c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 thickBot="1">
      <c r="A37" s="25">
        <f t="shared" si="14"/>
        <v>29</v>
      </c>
      <c r="B37" s="26" t="str">
        <f>'BASE DE DATOS'!C38</f>
        <v>TI</v>
      </c>
      <c r="C37" s="27">
        <f>'BASE DE DATOS'!D38</f>
        <v>1025147204</v>
      </c>
      <c r="D37" s="28" t="str">
        <f>'BASE DE DATOS'!B38</f>
        <v>LINA SOFIA RAMIREZ DUARTE</v>
      </c>
      <c r="E37" s="29" t="s">
        <v>48</v>
      </c>
      <c r="F37" s="30" t="str">
        <f t="shared" si="2"/>
        <v/>
      </c>
      <c r="G37" s="40">
        <f t="shared" si="3"/>
        <v>2</v>
      </c>
      <c r="H37" s="41">
        <f t="shared" si="4"/>
        <v>0</v>
      </c>
      <c r="I37" s="41">
        <f t="shared" si="5"/>
        <v>0</v>
      </c>
      <c r="J37" s="41">
        <f t="shared" si="6"/>
        <v>0</v>
      </c>
      <c r="K37" s="41">
        <f t="shared" si="7"/>
        <v>0</v>
      </c>
      <c r="L37" s="41">
        <f t="shared" si="8"/>
        <v>0</v>
      </c>
      <c r="M37" s="32">
        <f t="shared" si="9"/>
        <v>0</v>
      </c>
      <c r="N37" s="33">
        <f t="shared" si="10"/>
        <v>0</v>
      </c>
      <c r="O37" s="42">
        <f t="shared" si="11"/>
        <v>0</v>
      </c>
      <c r="P37" s="35" t="s">
        <v>40</v>
      </c>
      <c r="Q37" s="35" t="s">
        <v>40</v>
      </c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 thickBot="1">
      <c r="A38" s="25">
        <f t="shared" si="14"/>
        <v>30</v>
      </c>
      <c r="B38" s="26" t="str">
        <f>'BASE DE DATOS'!C39</f>
        <v>TI</v>
      </c>
      <c r="C38" s="27">
        <f>'BASE DE DATOS'!D39</f>
        <v>1014236875</v>
      </c>
      <c r="D38" s="28" t="str">
        <f>'BASE DE DATOS'!B39</f>
        <v>JULIE ANDREA RIVERA LOZANO</v>
      </c>
      <c r="E38" s="29" t="s">
        <v>48</v>
      </c>
      <c r="F38" s="30" t="str">
        <f t="shared" ref="F38:F43" si="42">IF(I38=0,"",IF(I38&gt;=5,"FALTAS INTERMITENTES",IF(I38&gt;=3,"REVISAR FALTAS",IF(AND(I38&lt;3,I38&gt;0),"CON FALTAS"))))</f>
        <v/>
      </c>
      <c r="G38" s="40">
        <f t="shared" ref="G38:G43" si="43">COUNTIF(P38:CR38,"A")</f>
        <v>2</v>
      </c>
      <c r="H38" s="41">
        <f t="shared" ref="H38:H43" si="44">COUNTIF(P38:CR38,"CE")</f>
        <v>0</v>
      </c>
      <c r="I38" s="41">
        <f t="shared" ref="I38:I43" si="45">COUNTIF(P38:CR38,"SE")</f>
        <v>0</v>
      </c>
      <c r="J38" s="41">
        <f t="shared" ref="J38:J43" si="46">COUNTIF(P38:CR38,"INC")</f>
        <v>0</v>
      </c>
      <c r="K38" s="41">
        <f t="shared" ref="K38:K43" si="47">COUNTIF(P38:CR38,"LIC")</f>
        <v>0</v>
      </c>
      <c r="L38" s="41">
        <f t="shared" ref="L38:L43" si="48">COUNTIF(P38:CR38,"CLM")</f>
        <v>0</v>
      </c>
      <c r="M38" s="32">
        <f t="shared" ref="M38:M43" si="49">COUNTIF(P38:IA38,"SFF")</f>
        <v>0</v>
      </c>
      <c r="N38" s="33">
        <f t="shared" ref="N38:N43" si="50">COUNTIF(P38:CR38,"RET")</f>
        <v>0</v>
      </c>
      <c r="O38" s="42">
        <f t="shared" ref="O38:O43" si="51">IFERROR(SUM(H38:K38)/SUM(G38:K38)," ")</f>
        <v>0</v>
      </c>
      <c r="P38" s="35" t="s">
        <v>40</v>
      </c>
      <c r="Q38" s="35" t="s">
        <v>40</v>
      </c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/>
      <c r="DW38" s="38"/>
    </row>
    <row r="39" spans="1:127" ht="15.75" customHeight="1" thickBot="1">
      <c r="A39" s="25">
        <f t="shared" si="14"/>
        <v>31</v>
      </c>
      <c r="B39" s="26" t="str">
        <f>'BASE DE DATOS'!C40</f>
        <v>TI</v>
      </c>
      <c r="C39" s="27">
        <f>'BASE DE DATOS'!D40</f>
        <v>1141122555</v>
      </c>
      <c r="D39" s="28" t="str">
        <f>'BASE DE DATOS'!B40</f>
        <v>EMILY DAYAN RIVERA RODRIGUEZ</v>
      </c>
      <c r="E39" s="29" t="s">
        <v>48</v>
      </c>
      <c r="F39" s="30" t="str">
        <f t="shared" si="42"/>
        <v/>
      </c>
      <c r="G39" s="40">
        <f t="shared" si="43"/>
        <v>2</v>
      </c>
      <c r="H39" s="41">
        <f t="shared" si="44"/>
        <v>0</v>
      </c>
      <c r="I39" s="41">
        <f t="shared" si="45"/>
        <v>0</v>
      </c>
      <c r="J39" s="41">
        <f t="shared" si="46"/>
        <v>0</v>
      </c>
      <c r="K39" s="41">
        <f t="shared" si="47"/>
        <v>0</v>
      </c>
      <c r="L39" s="41">
        <f t="shared" si="48"/>
        <v>0</v>
      </c>
      <c r="M39" s="32">
        <f t="shared" si="49"/>
        <v>0</v>
      </c>
      <c r="N39" s="33">
        <f t="shared" si="50"/>
        <v>0</v>
      </c>
      <c r="O39" s="42">
        <f t="shared" si="51"/>
        <v>0</v>
      </c>
      <c r="P39" s="35" t="s">
        <v>40</v>
      </c>
      <c r="Q39" s="35" t="s">
        <v>40</v>
      </c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/>
      <c r="DW39" s="38"/>
    </row>
    <row r="40" spans="1:127" ht="15.75" customHeight="1" thickBot="1">
      <c r="A40" s="25">
        <f t="shared" si="14"/>
        <v>32</v>
      </c>
      <c r="B40" s="26" t="str">
        <f>'BASE DE DATOS'!C41</f>
        <v>TI</v>
      </c>
      <c r="C40" s="27">
        <f>'BASE DE DATOS'!D41</f>
        <v>1019766073</v>
      </c>
      <c r="D40" s="28" t="str">
        <f>'BASE DE DATOS'!B41</f>
        <v>ASTRID SARAY ROJAS HERRERA</v>
      </c>
      <c r="E40" s="29" t="s">
        <v>48</v>
      </c>
      <c r="F40" s="30" t="str">
        <f t="shared" si="42"/>
        <v/>
      </c>
      <c r="G40" s="40">
        <f t="shared" si="43"/>
        <v>2</v>
      </c>
      <c r="H40" s="41">
        <f t="shared" si="44"/>
        <v>0</v>
      </c>
      <c r="I40" s="41">
        <f t="shared" si="45"/>
        <v>0</v>
      </c>
      <c r="J40" s="41">
        <f t="shared" si="46"/>
        <v>0</v>
      </c>
      <c r="K40" s="41">
        <f t="shared" si="47"/>
        <v>0</v>
      </c>
      <c r="L40" s="41">
        <f t="shared" si="48"/>
        <v>0</v>
      </c>
      <c r="M40" s="32">
        <f t="shared" si="49"/>
        <v>0</v>
      </c>
      <c r="N40" s="33">
        <f t="shared" si="50"/>
        <v>0</v>
      </c>
      <c r="O40" s="42">
        <f t="shared" si="51"/>
        <v>0</v>
      </c>
      <c r="P40" s="35" t="s">
        <v>40</v>
      </c>
      <c r="Q40" s="35" t="s">
        <v>40</v>
      </c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/>
      <c r="DW40" s="38"/>
    </row>
    <row r="41" spans="1:127" ht="15.75" customHeight="1" thickBot="1">
      <c r="A41" s="25">
        <f t="shared" si="14"/>
        <v>33</v>
      </c>
      <c r="B41" s="26" t="str">
        <f>'BASE DE DATOS'!C42</f>
        <v>TI</v>
      </c>
      <c r="C41" s="27">
        <f>'BASE DE DATOS'!D42</f>
        <v>1014238500</v>
      </c>
      <c r="D41" s="28" t="str">
        <f>'BASE DE DATOS'!B42</f>
        <v>VALERIA KATHERINE ROMERO RIAÑO</v>
      </c>
      <c r="E41" s="29" t="s">
        <v>48</v>
      </c>
      <c r="F41" s="30" t="str">
        <f t="shared" si="42"/>
        <v/>
      </c>
      <c r="G41" s="40">
        <f t="shared" si="43"/>
        <v>2</v>
      </c>
      <c r="H41" s="41">
        <f t="shared" si="44"/>
        <v>0</v>
      </c>
      <c r="I41" s="41">
        <f t="shared" si="45"/>
        <v>0</v>
      </c>
      <c r="J41" s="41">
        <f t="shared" si="46"/>
        <v>0</v>
      </c>
      <c r="K41" s="41">
        <f t="shared" si="47"/>
        <v>0</v>
      </c>
      <c r="L41" s="41">
        <f t="shared" si="48"/>
        <v>0</v>
      </c>
      <c r="M41" s="32">
        <f t="shared" si="49"/>
        <v>0</v>
      </c>
      <c r="N41" s="33">
        <f t="shared" si="50"/>
        <v>0</v>
      </c>
      <c r="O41" s="42">
        <f t="shared" si="51"/>
        <v>0</v>
      </c>
      <c r="P41" s="35" t="s">
        <v>40</v>
      </c>
      <c r="Q41" s="35" t="s">
        <v>40</v>
      </c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/>
      <c r="DW41" s="38"/>
    </row>
    <row r="42" spans="1:127" ht="15.75" customHeight="1" thickBot="1">
      <c r="A42" s="25">
        <f t="shared" si="14"/>
        <v>34</v>
      </c>
      <c r="B42" s="26" t="str">
        <f>'BASE DE DATOS'!C43</f>
        <v>TI</v>
      </c>
      <c r="C42" s="27">
        <f>'BASE DE DATOS'!D43</f>
        <v>1146126178</v>
      </c>
      <c r="D42" s="28" t="str">
        <f>'BASE DE DATOS'!B43</f>
        <v>PAULA GABRIELA SALCEDO ALGECIRA</v>
      </c>
      <c r="E42" s="29" t="s">
        <v>48</v>
      </c>
      <c r="F42" s="30" t="str">
        <f t="shared" si="42"/>
        <v/>
      </c>
      <c r="G42" s="40">
        <f t="shared" si="43"/>
        <v>2</v>
      </c>
      <c r="H42" s="41">
        <f t="shared" si="44"/>
        <v>0</v>
      </c>
      <c r="I42" s="41">
        <f t="shared" si="45"/>
        <v>0</v>
      </c>
      <c r="J42" s="41">
        <f t="shared" si="46"/>
        <v>0</v>
      </c>
      <c r="K42" s="41">
        <f t="shared" si="47"/>
        <v>0</v>
      </c>
      <c r="L42" s="41">
        <f t="shared" si="48"/>
        <v>0</v>
      </c>
      <c r="M42" s="32">
        <f t="shared" si="49"/>
        <v>0</v>
      </c>
      <c r="N42" s="33">
        <f t="shared" si="50"/>
        <v>0</v>
      </c>
      <c r="O42" s="42">
        <f t="shared" si="51"/>
        <v>0</v>
      </c>
      <c r="P42" s="35" t="s">
        <v>40</v>
      </c>
      <c r="Q42" s="35" t="s">
        <v>40</v>
      </c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/>
      <c r="DW42" s="38"/>
    </row>
    <row r="43" spans="1:127" ht="15.75" customHeight="1" thickBot="1">
      <c r="A43" s="25">
        <f t="shared" si="14"/>
        <v>35</v>
      </c>
      <c r="B43" s="26" t="str">
        <f>'BASE DE DATOS'!C44</f>
        <v>TI</v>
      </c>
      <c r="C43" s="27">
        <f>'BASE DE DATOS'!D44</f>
        <v>1052842832</v>
      </c>
      <c r="D43" s="28" t="str">
        <f>'BASE DE DATOS'!B44</f>
        <v>STEFANNY SOFIA SANCHEZ DIVANTOQUE</v>
      </c>
      <c r="E43" s="29" t="s">
        <v>48</v>
      </c>
      <c r="F43" s="30" t="str">
        <f t="shared" si="42"/>
        <v/>
      </c>
      <c r="G43" s="40">
        <f t="shared" si="43"/>
        <v>2</v>
      </c>
      <c r="H43" s="41">
        <f t="shared" si="44"/>
        <v>0</v>
      </c>
      <c r="I43" s="41">
        <f t="shared" si="45"/>
        <v>0</v>
      </c>
      <c r="J43" s="41">
        <f t="shared" si="46"/>
        <v>0</v>
      </c>
      <c r="K43" s="41">
        <f t="shared" si="47"/>
        <v>0</v>
      </c>
      <c r="L43" s="41">
        <f t="shared" si="48"/>
        <v>0</v>
      </c>
      <c r="M43" s="32">
        <f t="shared" si="49"/>
        <v>0</v>
      </c>
      <c r="N43" s="33">
        <f t="shared" si="50"/>
        <v>0</v>
      </c>
      <c r="O43" s="42">
        <f t="shared" si="51"/>
        <v>0</v>
      </c>
      <c r="P43" s="35" t="s">
        <v>40</v>
      </c>
      <c r="Q43" s="35" t="s">
        <v>40</v>
      </c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 thickBot="1">
      <c r="A44" s="73"/>
      <c r="B44" s="74"/>
      <c r="C44" s="75"/>
      <c r="D44" s="75"/>
      <c r="E44" s="75"/>
      <c r="F44" s="74"/>
      <c r="G44" s="161" t="s">
        <v>61</v>
      </c>
      <c r="H44" s="122"/>
      <c r="I44" s="122"/>
      <c r="J44" s="122"/>
      <c r="K44" s="122"/>
      <c r="L44" s="122"/>
      <c r="M44" s="123"/>
      <c r="N44" s="124" t="str">
        <f>G8</f>
        <v>A</v>
      </c>
      <c r="O44" s="125"/>
      <c r="P44" s="43">
        <f t="shared" ref="P44:AU44" si="52">COUNTIF(P9:P37,"A")</f>
        <v>29</v>
      </c>
      <c r="Q44" s="43">
        <f t="shared" si="52"/>
        <v>29</v>
      </c>
      <c r="R44" s="43">
        <f t="shared" si="52"/>
        <v>0</v>
      </c>
      <c r="S44" s="43">
        <f t="shared" si="52"/>
        <v>0</v>
      </c>
      <c r="T44" s="43">
        <f t="shared" si="52"/>
        <v>0</v>
      </c>
      <c r="U44" s="43">
        <f t="shared" si="52"/>
        <v>0</v>
      </c>
      <c r="V44" s="43">
        <f t="shared" si="52"/>
        <v>0</v>
      </c>
      <c r="W44" s="43">
        <f t="shared" si="52"/>
        <v>0</v>
      </c>
      <c r="X44" s="43">
        <f t="shared" si="52"/>
        <v>0</v>
      </c>
      <c r="Y44" s="43">
        <f t="shared" si="52"/>
        <v>0</v>
      </c>
      <c r="Z44" s="43">
        <f t="shared" si="52"/>
        <v>0</v>
      </c>
      <c r="AA44" s="43">
        <f t="shared" si="52"/>
        <v>0</v>
      </c>
      <c r="AB44" s="43">
        <f t="shared" si="52"/>
        <v>0</v>
      </c>
      <c r="AC44" s="43">
        <f t="shared" si="52"/>
        <v>0</v>
      </c>
      <c r="AD44" s="43">
        <f t="shared" si="52"/>
        <v>0</v>
      </c>
      <c r="AE44" s="43">
        <f t="shared" si="52"/>
        <v>0</v>
      </c>
      <c r="AF44" s="43">
        <f t="shared" si="52"/>
        <v>0</v>
      </c>
      <c r="AG44" s="43">
        <f t="shared" si="52"/>
        <v>0</v>
      </c>
      <c r="AH44" s="43">
        <f t="shared" si="52"/>
        <v>0</v>
      </c>
      <c r="AI44" s="43">
        <f t="shared" si="52"/>
        <v>0</v>
      </c>
      <c r="AJ44" s="43">
        <f t="shared" si="52"/>
        <v>0</v>
      </c>
      <c r="AK44" s="43">
        <f t="shared" si="52"/>
        <v>0</v>
      </c>
      <c r="AL44" s="43">
        <f t="shared" si="52"/>
        <v>0</v>
      </c>
      <c r="AM44" s="43">
        <f t="shared" si="52"/>
        <v>0</v>
      </c>
      <c r="AN44" s="43">
        <f t="shared" si="52"/>
        <v>0</v>
      </c>
      <c r="AO44" s="43">
        <f t="shared" si="52"/>
        <v>0</v>
      </c>
      <c r="AP44" s="43">
        <f t="shared" si="52"/>
        <v>0</v>
      </c>
      <c r="AQ44" s="43">
        <f t="shared" si="52"/>
        <v>0</v>
      </c>
      <c r="AR44" s="43">
        <f t="shared" si="52"/>
        <v>0</v>
      </c>
      <c r="AS44" s="43">
        <f t="shared" si="52"/>
        <v>0</v>
      </c>
      <c r="AT44" s="43">
        <f t="shared" si="52"/>
        <v>0</v>
      </c>
      <c r="AU44" s="43">
        <f t="shared" si="52"/>
        <v>0</v>
      </c>
      <c r="AV44" s="43">
        <f t="shared" ref="AV44:CA44" si="53">COUNTIF(AV9:AV37,"A")</f>
        <v>0</v>
      </c>
      <c r="AW44" s="43">
        <f t="shared" si="53"/>
        <v>0</v>
      </c>
      <c r="AX44" s="43">
        <f t="shared" si="53"/>
        <v>0</v>
      </c>
      <c r="AY44" s="43">
        <f t="shared" si="53"/>
        <v>0</v>
      </c>
      <c r="AZ44" s="43">
        <f t="shared" si="53"/>
        <v>0</v>
      </c>
      <c r="BA44" s="43">
        <f t="shared" si="53"/>
        <v>0</v>
      </c>
      <c r="BB44" s="43">
        <f t="shared" si="53"/>
        <v>0</v>
      </c>
      <c r="BC44" s="43">
        <f t="shared" si="53"/>
        <v>0</v>
      </c>
      <c r="BD44" s="43">
        <f t="shared" si="53"/>
        <v>0</v>
      </c>
      <c r="BE44" s="43">
        <f t="shared" si="53"/>
        <v>0</v>
      </c>
      <c r="BF44" s="43">
        <f t="shared" si="53"/>
        <v>0</v>
      </c>
      <c r="BG44" s="43">
        <f t="shared" si="53"/>
        <v>0</v>
      </c>
      <c r="BH44" s="43">
        <f t="shared" si="53"/>
        <v>0</v>
      </c>
      <c r="BI44" s="43">
        <f t="shared" si="53"/>
        <v>0</v>
      </c>
      <c r="BJ44" s="43">
        <f t="shared" si="53"/>
        <v>0</v>
      </c>
      <c r="BK44" s="43">
        <f t="shared" si="53"/>
        <v>0</v>
      </c>
      <c r="BL44" s="43">
        <f t="shared" si="53"/>
        <v>0</v>
      </c>
      <c r="BM44" s="43">
        <f t="shared" si="53"/>
        <v>0</v>
      </c>
      <c r="BN44" s="43">
        <f t="shared" si="53"/>
        <v>0</v>
      </c>
      <c r="BO44" s="43">
        <f t="shared" si="53"/>
        <v>0</v>
      </c>
      <c r="BP44" s="43">
        <f t="shared" si="53"/>
        <v>0</v>
      </c>
      <c r="BQ44" s="43">
        <f t="shared" si="53"/>
        <v>0</v>
      </c>
      <c r="BR44" s="43">
        <f t="shared" si="53"/>
        <v>0</v>
      </c>
      <c r="BS44" s="43">
        <f t="shared" si="53"/>
        <v>0</v>
      </c>
      <c r="BT44" s="43">
        <f t="shared" si="53"/>
        <v>0</v>
      </c>
      <c r="BU44" s="43">
        <f t="shared" si="53"/>
        <v>0</v>
      </c>
      <c r="BV44" s="43">
        <f t="shared" si="53"/>
        <v>0</v>
      </c>
      <c r="BW44" s="43">
        <f t="shared" si="53"/>
        <v>0</v>
      </c>
      <c r="BX44" s="43">
        <f t="shared" si="53"/>
        <v>0</v>
      </c>
      <c r="BY44" s="43">
        <f t="shared" si="53"/>
        <v>0</v>
      </c>
      <c r="BZ44" s="43">
        <f t="shared" si="53"/>
        <v>0</v>
      </c>
      <c r="CA44" s="43">
        <f t="shared" si="53"/>
        <v>0</v>
      </c>
      <c r="CB44" s="43">
        <f t="shared" ref="CB44:CW44" si="54">COUNTIF(CB9:CB37,"A")</f>
        <v>0</v>
      </c>
      <c r="CC44" s="43">
        <f t="shared" si="54"/>
        <v>0</v>
      </c>
      <c r="CD44" s="43">
        <f t="shared" si="54"/>
        <v>0</v>
      </c>
      <c r="CE44" s="43">
        <f t="shared" si="54"/>
        <v>0</v>
      </c>
      <c r="CF44" s="43">
        <f t="shared" si="54"/>
        <v>0</v>
      </c>
      <c r="CG44" s="43">
        <f t="shared" si="54"/>
        <v>0</v>
      </c>
      <c r="CH44" s="43">
        <f t="shared" si="54"/>
        <v>0</v>
      </c>
      <c r="CI44" s="43">
        <f t="shared" si="54"/>
        <v>0</v>
      </c>
      <c r="CJ44" s="43">
        <f t="shared" si="54"/>
        <v>0</v>
      </c>
      <c r="CK44" s="43">
        <f t="shared" si="54"/>
        <v>0</v>
      </c>
      <c r="CL44" s="43">
        <f t="shared" si="54"/>
        <v>0</v>
      </c>
      <c r="CM44" s="43">
        <f t="shared" si="54"/>
        <v>0</v>
      </c>
      <c r="CN44" s="43">
        <f t="shared" si="54"/>
        <v>0</v>
      </c>
      <c r="CO44" s="43">
        <f t="shared" si="54"/>
        <v>0</v>
      </c>
      <c r="CP44" s="43">
        <f t="shared" si="54"/>
        <v>0</v>
      </c>
      <c r="CQ44" s="43">
        <f t="shared" si="54"/>
        <v>0</v>
      </c>
      <c r="CR44" s="43">
        <f t="shared" si="54"/>
        <v>0</v>
      </c>
      <c r="CS44" s="43">
        <f t="shared" si="54"/>
        <v>0</v>
      </c>
      <c r="CT44" s="43">
        <f t="shared" si="54"/>
        <v>0</v>
      </c>
      <c r="CU44" s="43">
        <f t="shared" si="54"/>
        <v>0</v>
      </c>
      <c r="CV44" s="43">
        <f t="shared" si="54"/>
        <v>0</v>
      </c>
      <c r="CW44" s="43">
        <f t="shared" si="54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55">CX44+CZ44+DB44+DD44+DF44+DH44+DJ44+DL44+DN44+DP44+DR44+DT44</f>
        <v>0</v>
      </c>
      <c r="DW44" s="38">
        <f t="shared" si="55"/>
        <v>0</v>
      </c>
    </row>
    <row r="45" spans="1:127" ht="15.75" customHeight="1">
      <c r="A45" s="73"/>
      <c r="B45" s="74"/>
      <c r="C45" s="75"/>
      <c r="D45" s="75"/>
      <c r="E45" s="75"/>
      <c r="F45" s="74"/>
      <c r="G45" s="131" t="s">
        <v>12</v>
      </c>
      <c r="H45" s="122"/>
      <c r="I45" s="122"/>
      <c r="J45" s="122"/>
      <c r="K45" s="122"/>
      <c r="L45" s="122"/>
      <c r="M45" s="123"/>
      <c r="N45" s="124" t="str">
        <f>H8</f>
        <v>CE</v>
      </c>
      <c r="O45" s="125"/>
      <c r="P45" s="43">
        <f t="shared" ref="P45:AU45" si="56">COUNTIF(P9:P37,"CE")</f>
        <v>0</v>
      </c>
      <c r="Q45" s="43">
        <f t="shared" si="56"/>
        <v>0</v>
      </c>
      <c r="R45" s="43">
        <f t="shared" si="56"/>
        <v>0</v>
      </c>
      <c r="S45" s="43">
        <f t="shared" si="56"/>
        <v>0</v>
      </c>
      <c r="T45" s="43">
        <f t="shared" si="56"/>
        <v>0</v>
      </c>
      <c r="U45" s="43">
        <f t="shared" si="56"/>
        <v>0</v>
      </c>
      <c r="V45" s="43">
        <f t="shared" si="56"/>
        <v>0</v>
      </c>
      <c r="W45" s="43">
        <f t="shared" si="56"/>
        <v>0</v>
      </c>
      <c r="X45" s="43">
        <f t="shared" si="56"/>
        <v>0</v>
      </c>
      <c r="Y45" s="43">
        <f t="shared" si="56"/>
        <v>0</v>
      </c>
      <c r="Z45" s="43">
        <f t="shared" si="56"/>
        <v>0</v>
      </c>
      <c r="AA45" s="43">
        <f t="shared" si="56"/>
        <v>0</v>
      </c>
      <c r="AB45" s="43">
        <f t="shared" si="56"/>
        <v>0</v>
      </c>
      <c r="AC45" s="43">
        <f t="shared" si="56"/>
        <v>0</v>
      </c>
      <c r="AD45" s="43">
        <f t="shared" si="56"/>
        <v>0</v>
      </c>
      <c r="AE45" s="43">
        <f t="shared" si="56"/>
        <v>0</v>
      </c>
      <c r="AF45" s="43">
        <f t="shared" si="56"/>
        <v>0</v>
      </c>
      <c r="AG45" s="43">
        <f t="shared" si="56"/>
        <v>0</v>
      </c>
      <c r="AH45" s="43">
        <f t="shared" si="56"/>
        <v>0</v>
      </c>
      <c r="AI45" s="43">
        <f t="shared" si="56"/>
        <v>0</v>
      </c>
      <c r="AJ45" s="43">
        <f t="shared" si="56"/>
        <v>0</v>
      </c>
      <c r="AK45" s="43">
        <f t="shared" si="56"/>
        <v>0</v>
      </c>
      <c r="AL45" s="43">
        <f t="shared" si="56"/>
        <v>0</v>
      </c>
      <c r="AM45" s="43">
        <f t="shared" si="56"/>
        <v>0</v>
      </c>
      <c r="AN45" s="43">
        <f t="shared" si="56"/>
        <v>0</v>
      </c>
      <c r="AO45" s="43">
        <f t="shared" si="56"/>
        <v>0</v>
      </c>
      <c r="AP45" s="43">
        <f t="shared" si="56"/>
        <v>0</v>
      </c>
      <c r="AQ45" s="43">
        <f t="shared" si="56"/>
        <v>0</v>
      </c>
      <c r="AR45" s="43">
        <f t="shared" si="56"/>
        <v>0</v>
      </c>
      <c r="AS45" s="43">
        <f t="shared" si="56"/>
        <v>0</v>
      </c>
      <c r="AT45" s="43">
        <f t="shared" si="56"/>
        <v>0</v>
      </c>
      <c r="AU45" s="43">
        <f t="shared" si="56"/>
        <v>0</v>
      </c>
      <c r="AV45" s="43">
        <f t="shared" ref="AV45:CA45" si="57">COUNTIF(AV9:AV37,"CE")</f>
        <v>0</v>
      </c>
      <c r="AW45" s="43">
        <f t="shared" si="57"/>
        <v>0</v>
      </c>
      <c r="AX45" s="43">
        <f t="shared" si="57"/>
        <v>0</v>
      </c>
      <c r="AY45" s="43">
        <f t="shared" si="57"/>
        <v>0</v>
      </c>
      <c r="AZ45" s="43">
        <f t="shared" si="57"/>
        <v>0</v>
      </c>
      <c r="BA45" s="43">
        <f t="shared" si="57"/>
        <v>0</v>
      </c>
      <c r="BB45" s="43">
        <f t="shared" si="57"/>
        <v>0</v>
      </c>
      <c r="BC45" s="43">
        <f t="shared" si="57"/>
        <v>0</v>
      </c>
      <c r="BD45" s="43">
        <f t="shared" si="57"/>
        <v>0</v>
      </c>
      <c r="BE45" s="43">
        <f t="shared" si="57"/>
        <v>0</v>
      </c>
      <c r="BF45" s="43">
        <f t="shared" si="57"/>
        <v>0</v>
      </c>
      <c r="BG45" s="43">
        <f t="shared" si="57"/>
        <v>0</v>
      </c>
      <c r="BH45" s="43">
        <f t="shared" si="57"/>
        <v>0</v>
      </c>
      <c r="BI45" s="43">
        <f t="shared" si="57"/>
        <v>0</v>
      </c>
      <c r="BJ45" s="43">
        <f t="shared" si="57"/>
        <v>0</v>
      </c>
      <c r="BK45" s="43">
        <f t="shared" si="57"/>
        <v>0</v>
      </c>
      <c r="BL45" s="43">
        <f t="shared" si="57"/>
        <v>0</v>
      </c>
      <c r="BM45" s="43">
        <f t="shared" si="57"/>
        <v>0</v>
      </c>
      <c r="BN45" s="43">
        <f t="shared" si="57"/>
        <v>0</v>
      </c>
      <c r="BO45" s="43">
        <f t="shared" si="57"/>
        <v>0</v>
      </c>
      <c r="BP45" s="43">
        <f t="shared" si="57"/>
        <v>0</v>
      </c>
      <c r="BQ45" s="43">
        <f t="shared" si="57"/>
        <v>0</v>
      </c>
      <c r="BR45" s="43">
        <f t="shared" si="57"/>
        <v>0</v>
      </c>
      <c r="BS45" s="43">
        <f t="shared" si="57"/>
        <v>0</v>
      </c>
      <c r="BT45" s="43">
        <f t="shared" si="57"/>
        <v>0</v>
      </c>
      <c r="BU45" s="43">
        <f t="shared" si="57"/>
        <v>0</v>
      </c>
      <c r="BV45" s="43">
        <f t="shared" si="57"/>
        <v>0</v>
      </c>
      <c r="BW45" s="43">
        <f t="shared" si="57"/>
        <v>0</v>
      </c>
      <c r="BX45" s="43">
        <f t="shared" si="57"/>
        <v>0</v>
      </c>
      <c r="BY45" s="43">
        <f t="shared" si="57"/>
        <v>0</v>
      </c>
      <c r="BZ45" s="43">
        <f t="shared" si="57"/>
        <v>0</v>
      </c>
      <c r="CA45" s="43">
        <f t="shared" si="57"/>
        <v>0</v>
      </c>
      <c r="CB45" s="43">
        <f t="shared" ref="CB45:CW45" si="58">COUNTIF(CB9:CB37,"CE")</f>
        <v>0</v>
      </c>
      <c r="CC45" s="43">
        <f t="shared" si="58"/>
        <v>0</v>
      </c>
      <c r="CD45" s="43">
        <f t="shared" si="58"/>
        <v>0</v>
      </c>
      <c r="CE45" s="43">
        <f t="shared" si="58"/>
        <v>0</v>
      </c>
      <c r="CF45" s="43">
        <f t="shared" si="58"/>
        <v>0</v>
      </c>
      <c r="CG45" s="43">
        <f t="shared" si="58"/>
        <v>0</v>
      </c>
      <c r="CH45" s="43">
        <f t="shared" si="58"/>
        <v>0</v>
      </c>
      <c r="CI45" s="43">
        <f t="shared" si="58"/>
        <v>0</v>
      </c>
      <c r="CJ45" s="43">
        <f t="shared" si="58"/>
        <v>0</v>
      </c>
      <c r="CK45" s="43">
        <f t="shared" si="58"/>
        <v>0</v>
      </c>
      <c r="CL45" s="43">
        <f t="shared" si="58"/>
        <v>0</v>
      </c>
      <c r="CM45" s="43">
        <f t="shared" si="58"/>
        <v>0</v>
      </c>
      <c r="CN45" s="43">
        <f t="shared" si="58"/>
        <v>0</v>
      </c>
      <c r="CO45" s="43">
        <f t="shared" si="58"/>
        <v>0</v>
      </c>
      <c r="CP45" s="43">
        <f t="shared" si="58"/>
        <v>0</v>
      </c>
      <c r="CQ45" s="43">
        <f t="shared" si="58"/>
        <v>0</v>
      </c>
      <c r="CR45" s="43">
        <f t="shared" si="58"/>
        <v>0</v>
      </c>
      <c r="CS45" s="43">
        <f t="shared" si="58"/>
        <v>0</v>
      </c>
      <c r="CT45" s="43">
        <f t="shared" si="58"/>
        <v>0</v>
      </c>
      <c r="CU45" s="43">
        <f t="shared" si="58"/>
        <v>0</v>
      </c>
      <c r="CV45" s="43">
        <f t="shared" si="58"/>
        <v>0</v>
      </c>
      <c r="CW45" s="43">
        <f t="shared" si="58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59">CX45+CZ45+DB45+DD45+DF45+DH45+DJ45+DL45+DN45+DP45+DR45+DT45</f>
        <v>0</v>
      </c>
      <c r="DW45" s="38">
        <f t="shared" si="59"/>
        <v>0</v>
      </c>
    </row>
    <row r="46" spans="1:127" ht="15.75" customHeight="1">
      <c r="A46" s="73"/>
      <c r="B46" s="74"/>
      <c r="C46" s="75"/>
      <c r="D46" s="75"/>
      <c r="E46" s="75"/>
      <c r="F46" s="74"/>
      <c r="G46" s="132" t="s">
        <v>14</v>
      </c>
      <c r="H46" s="122"/>
      <c r="I46" s="122"/>
      <c r="J46" s="122"/>
      <c r="K46" s="122"/>
      <c r="L46" s="122"/>
      <c r="M46" s="123"/>
      <c r="N46" s="124" t="str">
        <f>I8</f>
        <v>SE</v>
      </c>
      <c r="O46" s="125"/>
      <c r="P46" s="43">
        <f t="shared" ref="P46:AU46" si="60">COUNTIF(P9:P37,"SE")</f>
        <v>0</v>
      </c>
      <c r="Q46" s="43">
        <f t="shared" si="60"/>
        <v>0</v>
      </c>
      <c r="R46" s="43">
        <f t="shared" si="60"/>
        <v>0</v>
      </c>
      <c r="S46" s="43">
        <f t="shared" si="60"/>
        <v>0</v>
      </c>
      <c r="T46" s="43">
        <f t="shared" si="60"/>
        <v>0</v>
      </c>
      <c r="U46" s="43">
        <f t="shared" si="60"/>
        <v>0</v>
      </c>
      <c r="V46" s="43">
        <f t="shared" si="60"/>
        <v>0</v>
      </c>
      <c r="W46" s="43">
        <f t="shared" si="60"/>
        <v>0</v>
      </c>
      <c r="X46" s="43">
        <f t="shared" si="60"/>
        <v>0</v>
      </c>
      <c r="Y46" s="43">
        <f t="shared" si="60"/>
        <v>0</v>
      </c>
      <c r="Z46" s="43">
        <f t="shared" si="60"/>
        <v>0</v>
      </c>
      <c r="AA46" s="43">
        <f t="shared" si="60"/>
        <v>0</v>
      </c>
      <c r="AB46" s="43">
        <f t="shared" si="60"/>
        <v>0</v>
      </c>
      <c r="AC46" s="43">
        <f t="shared" si="60"/>
        <v>0</v>
      </c>
      <c r="AD46" s="43">
        <f t="shared" si="60"/>
        <v>0</v>
      </c>
      <c r="AE46" s="43">
        <f t="shared" si="60"/>
        <v>0</v>
      </c>
      <c r="AF46" s="43">
        <f t="shared" si="60"/>
        <v>0</v>
      </c>
      <c r="AG46" s="43">
        <f t="shared" si="60"/>
        <v>0</v>
      </c>
      <c r="AH46" s="43">
        <f t="shared" si="60"/>
        <v>0</v>
      </c>
      <c r="AI46" s="43">
        <f t="shared" si="60"/>
        <v>0</v>
      </c>
      <c r="AJ46" s="43">
        <f t="shared" si="60"/>
        <v>0</v>
      </c>
      <c r="AK46" s="43">
        <f t="shared" si="60"/>
        <v>0</v>
      </c>
      <c r="AL46" s="43">
        <f t="shared" si="60"/>
        <v>0</v>
      </c>
      <c r="AM46" s="43">
        <f t="shared" si="60"/>
        <v>0</v>
      </c>
      <c r="AN46" s="43">
        <f t="shared" si="60"/>
        <v>0</v>
      </c>
      <c r="AO46" s="43">
        <f t="shared" si="60"/>
        <v>0</v>
      </c>
      <c r="AP46" s="43">
        <f t="shared" si="60"/>
        <v>0</v>
      </c>
      <c r="AQ46" s="43">
        <f t="shared" si="60"/>
        <v>0</v>
      </c>
      <c r="AR46" s="43">
        <f t="shared" si="60"/>
        <v>0</v>
      </c>
      <c r="AS46" s="43">
        <f t="shared" si="60"/>
        <v>0</v>
      </c>
      <c r="AT46" s="43">
        <f t="shared" si="60"/>
        <v>0</v>
      </c>
      <c r="AU46" s="43">
        <f t="shared" si="60"/>
        <v>0</v>
      </c>
      <c r="AV46" s="43">
        <f t="shared" ref="AV46:CA46" si="61">COUNTIF(AV9:AV37,"SE")</f>
        <v>0</v>
      </c>
      <c r="AW46" s="43">
        <f t="shared" si="61"/>
        <v>0</v>
      </c>
      <c r="AX46" s="43">
        <f t="shared" si="61"/>
        <v>0</v>
      </c>
      <c r="AY46" s="43">
        <f t="shared" si="61"/>
        <v>0</v>
      </c>
      <c r="AZ46" s="43">
        <f t="shared" si="61"/>
        <v>0</v>
      </c>
      <c r="BA46" s="43">
        <f t="shared" si="61"/>
        <v>0</v>
      </c>
      <c r="BB46" s="43">
        <f t="shared" si="61"/>
        <v>0</v>
      </c>
      <c r="BC46" s="43">
        <f t="shared" si="61"/>
        <v>0</v>
      </c>
      <c r="BD46" s="43">
        <f t="shared" si="61"/>
        <v>0</v>
      </c>
      <c r="BE46" s="43">
        <f t="shared" si="61"/>
        <v>0</v>
      </c>
      <c r="BF46" s="43">
        <f t="shared" si="61"/>
        <v>0</v>
      </c>
      <c r="BG46" s="43">
        <f t="shared" si="61"/>
        <v>0</v>
      </c>
      <c r="BH46" s="43">
        <f t="shared" si="61"/>
        <v>0</v>
      </c>
      <c r="BI46" s="43">
        <f t="shared" si="61"/>
        <v>0</v>
      </c>
      <c r="BJ46" s="43">
        <f t="shared" si="61"/>
        <v>0</v>
      </c>
      <c r="BK46" s="43">
        <f t="shared" si="61"/>
        <v>0</v>
      </c>
      <c r="BL46" s="43">
        <f t="shared" si="61"/>
        <v>0</v>
      </c>
      <c r="BM46" s="43">
        <f t="shared" si="61"/>
        <v>0</v>
      </c>
      <c r="BN46" s="43">
        <f t="shared" si="61"/>
        <v>0</v>
      </c>
      <c r="BO46" s="43">
        <f t="shared" si="61"/>
        <v>0</v>
      </c>
      <c r="BP46" s="43">
        <f t="shared" si="61"/>
        <v>0</v>
      </c>
      <c r="BQ46" s="43">
        <f t="shared" si="61"/>
        <v>0</v>
      </c>
      <c r="BR46" s="43">
        <f t="shared" si="61"/>
        <v>0</v>
      </c>
      <c r="BS46" s="43">
        <f t="shared" si="61"/>
        <v>0</v>
      </c>
      <c r="BT46" s="43">
        <f t="shared" si="61"/>
        <v>0</v>
      </c>
      <c r="BU46" s="43">
        <f t="shared" si="61"/>
        <v>0</v>
      </c>
      <c r="BV46" s="43">
        <f t="shared" si="61"/>
        <v>0</v>
      </c>
      <c r="BW46" s="43">
        <f t="shared" si="61"/>
        <v>0</v>
      </c>
      <c r="BX46" s="43">
        <f t="shared" si="61"/>
        <v>0</v>
      </c>
      <c r="BY46" s="43">
        <f t="shared" si="61"/>
        <v>0</v>
      </c>
      <c r="BZ46" s="43">
        <f t="shared" si="61"/>
        <v>0</v>
      </c>
      <c r="CA46" s="43">
        <f t="shared" si="61"/>
        <v>0</v>
      </c>
      <c r="CB46" s="43">
        <f t="shared" ref="CB46:CW46" si="62">COUNTIF(CB9:CB37,"SE")</f>
        <v>0</v>
      </c>
      <c r="CC46" s="43">
        <f t="shared" si="62"/>
        <v>0</v>
      </c>
      <c r="CD46" s="43">
        <f t="shared" si="62"/>
        <v>0</v>
      </c>
      <c r="CE46" s="43">
        <f t="shared" si="62"/>
        <v>0</v>
      </c>
      <c r="CF46" s="43">
        <f t="shared" si="62"/>
        <v>0</v>
      </c>
      <c r="CG46" s="43">
        <f t="shared" si="62"/>
        <v>0</v>
      </c>
      <c r="CH46" s="43">
        <f t="shared" si="62"/>
        <v>0</v>
      </c>
      <c r="CI46" s="43">
        <f t="shared" si="62"/>
        <v>0</v>
      </c>
      <c r="CJ46" s="43">
        <f t="shared" si="62"/>
        <v>0</v>
      </c>
      <c r="CK46" s="43">
        <f t="shared" si="62"/>
        <v>0</v>
      </c>
      <c r="CL46" s="43">
        <f t="shared" si="62"/>
        <v>0</v>
      </c>
      <c r="CM46" s="43">
        <f t="shared" si="62"/>
        <v>0</v>
      </c>
      <c r="CN46" s="43">
        <f t="shared" si="62"/>
        <v>0</v>
      </c>
      <c r="CO46" s="43">
        <f t="shared" si="62"/>
        <v>0</v>
      </c>
      <c r="CP46" s="43">
        <f t="shared" si="62"/>
        <v>0</v>
      </c>
      <c r="CQ46" s="43">
        <f t="shared" si="62"/>
        <v>0</v>
      </c>
      <c r="CR46" s="43">
        <f t="shared" si="62"/>
        <v>0</v>
      </c>
      <c r="CS46" s="43">
        <f t="shared" si="62"/>
        <v>0</v>
      </c>
      <c r="CT46" s="43">
        <f t="shared" si="62"/>
        <v>0</v>
      </c>
      <c r="CU46" s="43">
        <f t="shared" si="62"/>
        <v>0</v>
      </c>
      <c r="CV46" s="43">
        <f t="shared" si="62"/>
        <v>0</v>
      </c>
      <c r="CW46" s="43">
        <f t="shared" si="62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63">CX46+CZ46+DB46+DD46+DF46+DH46+DJ46+DL46+DN46+DP46+DR46+DT46</f>
        <v>0</v>
      </c>
      <c r="DW46" s="38">
        <f t="shared" si="63"/>
        <v>0</v>
      </c>
    </row>
    <row r="47" spans="1:127" ht="15.75" customHeight="1">
      <c r="A47" s="73"/>
      <c r="B47" s="74"/>
      <c r="C47" s="75"/>
      <c r="D47" s="75"/>
      <c r="E47" s="75"/>
      <c r="F47" s="44"/>
      <c r="G47" s="133" t="s">
        <v>62</v>
      </c>
      <c r="H47" s="122"/>
      <c r="I47" s="122"/>
      <c r="J47" s="122"/>
      <c r="K47" s="122"/>
      <c r="L47" s="122"/>
      <c r="M47" s="123"/>
      <c r="N47" s="124" t="str">
        <f>J8</f>
        <v>INC</v>
      </c>
      <c r="O47" s="125"/>
      <c r="P47" s="43">
        <f t="shared" ref="P47:AU47" si="64">COUNTIF(P9:P37,"INC")</f>
        <v>0</v>
      </c>
      <c r="Q47" s="43">
        <f t="shared" si="64"/>
        <v>0</v>
      </c>
      <c r="R47" s="43">
        <f t="shared" si="64"/>
        <v>0</v>
      </c>
      <c r="S47" s="43">
        <f t="shared" si="64"/>
        <v>0</v>
      </c>
      <c r="T47" s="43">
        <f t="shared" si="64"/>
        <v>0</v>
      </c>
      <c r="U47" s="43">
        <f t="shared" si="64"/>
        <v>0</v>
      </c>
      <c r="V47" s="43">
        <f t="shared" si="64"/>
        <v>0</v>
      </c>
      <c r="W47" s="43">
        <f t="shared" si="64"/>
        <v>0</v>
      </c>
      <c r="X47" s="43">
        <f t="shared" si="64"/>
        <v>0</v>
      </c>
      <c r="Y47" s="43">
        <f t="shared" si="64"/>
        <v>0</v>
      </c>
      <c r="Z47" s="43">
        <f t="shared" si="64"/>
        <v>0</v>
      </c>
      <c r="AA47" s="43">
        <f t="shared" si="64"/>
        <v>0</v>
      </c>
      <c r="AB47" s="43">
        <f t="shared" si="64"/>
        <v>0</v>
      </c>
      <c r="AC47" s="43">
        <f t="shared" si="64"/>
        <v>0</v>
      </c>
      <c r="AD47" s="43">
        <f t="shared" si="64"/>
        <v>0</v>
      </c>
      <c r="AE47" s="43">
        <f t="shared" si="64"/>
        <v>0</v>
      </c>
      <c r="AF47" s="43">
        <f t="shared" si="64"/>
        <v>0</v>
      </c>
      <c r="AG47" s="43">
        <f t="shared" si="64"/>
        <v>0</v>
      </c>
      <c r="AH47" s="43">
        <f t="shared" si="64"/>
        <v>0</v>
      </c>
      <c r="AI47" s="43">
        <f t="shared" si="64"/>
        <v>0</v>
      </c>
      <c r="AJ47" s="43">
        <f t="shared" si="64"/>
        <v>0</v>
      </c>
      <c r="AK47" s="43">
        <f t="shared" si="64"/>
        <v>0</v>
      </c>
      <c r="AL47" s="43">
        <f t="shared" si="64"/>
        <v>0</v>
      </c>
      <c r="AM47" s="43">
        <f t="shared" si="64"/>
        <v>0</v>
      </c>
      <c r="AN47" s="43">
        <f t="shared" si="64"/>
        <v>0</v>
      </c>
      <c r="AO47" s="43">
        <f t="shared" si="64"/>
        <v>0</v>
      </c>
      <c r="AP47" s="43">
        <f t="shared" si="64"/>
        <v>0</v>
      </c>
      <c r="AQ47" s="43">
        <f t="shared" si="64"/>
        <v>0</v>
      </c>
      <c r="AR47" s="43">
        <f t="shared" si="64"/>
        <v>0</v>
      </c>
      <c r="AS47" s="43">
        <f t="shared" si="64"/>
        <v>0</v>
      </c>
      <c r="AT47" s="43">
        <f t="shared" si="64"/>
        <v>0</v>
      </c>
      <c r="AU47" s="43">
        <f t="shared" si="64"/>
        <v>0</v>
      </c>
      <c r="AV47" s="43">
        <f t="shared" ref="AV47:CA47" si="65">COUNTIF(AV9:AV37,"INC")</f>
        <v>0</v>
      </c>
      <c r="AW47" s="43">
        <f t="shared" si="65"/>
        <v>0</v>
      </c>
      <c r="AX47" s="43">
        <f t="shared" si="65"/>
        <v>0</v>
      </c>
      <c r="AY47" s="43">
        <f t="shared" si="65"/>
        <v>0</v>
      </c>
      <c r="AZ47" s="43">
        <f t="shared" si="65"/>
        <v>0</v>
      </c>
      <c r="BA47" s="43">
        <f t="shared" si="65"/>
        <v>0</v>
      </c>
      <c r="BB47" s="43">
        <f t="shared" si="65"/>
        <v>0</v>
      </c>
      <c r="BC47" s="43">
        <f t="shared" si="65"/>
        <v>0</v>
      </c>
      <c r="BD47" s="43">
        <f t="shared" si="65"/>
        <v>0</v>
      </c>
      <c r="BE47" s="43">
        <f t="shared" si="65"/>
        <v>0</v>
      </c>
      <c r="BF47" s="43">
        <f t="shared" si="65"/>
        <v>0</v>
      </c>
      <c r="BG47" s="43">
        <f t="shared" si="65"/>
        <v>0</v>
      </c>
      <c r="BH47" s="43">
        <f t="shared" si="65"/>
        <v>0</v>
      </c>
      <c r="BI47" s="43">
        <f t="shared" si="65"/>
        <v>0</v>
      </c>
      <c r="BJ47" s="43">
        <f t="shared" si="65"/>
        <v>0</v>
      </c>
      <c r="BK47" s="43">
        <f t="shared" si="65"/>
        <v>0</v>
      </c>
      <c r="BL47" s="43">
        <f t="shared" si="65"/>
        <v>0</v>
      </c>
      <c r="BM47" s="43">
        <f t="shared" si="65"/>
        <v>0</v>
      </c>
      <c r="BN47" s="43">
        <f t="shared" si="65"/>
        <v>0</v>
      </c>
      <c r="BO47" s="43">
        <f t="shared" si="65"/>
        <v>0</v>
      </c>
      <c r="BP47" s="43">
        <f t="shared" si="65"/>
        <v>0</v>
      </c>
      <c r="BQ47" s="43">
        <f t="shared" si="65"/>
        <v>0</v>
      </c>
      <c r="BR47" s="43">
        <f t="shared" si="65"/>
        <v>0</v>
      </c>
      <c r="BS47" s="43">
        <f t="shared" si="65"/>
        <v>0</v>
      </c>
      <c r="BT47" s="43">
        <f t="shared" si="65"/>
        <v>0</v>
      </c>
      <c r="BU47" s="43">
        <f t="shared" si="65"/>
        <v>0</v>
      </c>
      <c r="BV47" s="43">
        <f t="shared" si="65"/>
        <v>0</v>
      </c>
      <c r="BW47" s="43">
        <f t="shared" si="65"/>
        <v>0</v>
      </c>
      <c r="BX47" s="43">
        <f t="shared" si="65"/>
        <v>0</v>
      </c>
      <c r="BY47" s="43">
        <f t="shared" si="65"/>
        <v>0</v>
      </c>
      <c r="BZ47" s="43">
        <f t="shared" si="65"/>
        <v>0</v>
      </c>
      <c r="CA47" s="43">
        <f t="shared" si="65"/>
        <v>0</v>
      </c>
      <c r="CB47" s="43">
        <f t="shared" ref="CB47:CW47" si="66">COUNTIF(CB9:CB37,"INC")</f>
        <v>0</v>
      </c>
      <c r="CC47" s="43">
        <f t="shared" si="66"/>
        <v>0</v>
      </c>
      <c r="CD47" s="43">
        <f t="shared" si="66"/>
        <v>0</v>
      </c>
      <c r="CE47" s="43">
        <f t="shared" si="66"/>
        <v>0</v>
      </c>
      <c r="CF47" s="43">
        <f t="shared" si="66"/>
        <v>0</v>
      </c>
      <c r="CG47" s="43">
        <f t="shared" si="66"/>
        <v>0</v>
      </c>
      <c r="CH47" s="43">
        <f t="shared" si="66"/>
        <v>0</v>
      </c>
      <c r="CI47" s="43">
        <f t="shared" si="66"/>
        <v>0</v>
      </c>
      <c r="CJ47" s="43">
        <f t="shared" si="66"/>
        <v>0</v>
      </c>
      <c r="CK47" s="43">
        <f t="shared" si="66"/>
        <v>0</v>
      </c>
      <c r="CL47" s="43">
        <f t="shared" si="66"/>
        <v>0</v>
      </c>
      <c r="CM47" s="43">
        <f t="shared" si="66"/>
        <v>0</v>
      </c>
      <c r="CN47" s="43">
        <f t="shared" si="66"/>
        <v>0</v>
      </c>
      <c r="CO47" s="43">
        <f t="shared" si="66"/>
        <v>0</v>
      </c>
      <c r="CP47" s="43">
        <f t="shared" si="66"/>
        <v>0</v>
      </c>
      <c r="CQ47" s="43">
        <f t="shared" si="66"/>
        <v>0</v>
      </c>
      <c r="CR47" s="43">
        <f t="shared" si="66"/>
        <v>0</v>
      </c>
      <c r="CS47" s="43">
        <f t="shared" si="66"/>
        <v>0</v>
      </c>
      <c r="CT47" s="43">
        <f t="shared" si="66"/>
        <v>0</v>
      </c>
      <c r="CU47" s="43">
        <f t="shared" si="66"/>
        <v>0</v>
      </c>
      <c r="CV47" s="43">
        <f t="shared" si="66"/>
        <v>0</v>
      </c>
      <c r="CW47" s="43">
        <f t="shared" si="66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67">CX47+CZ47+DB47+DD47+DF47+DH47+DJ47+DL47+DN47+DP47+DR47+DT47</f>
        <v>0</v>
      </c>
      <c r="DW47" s="38">
        <f t="shared" si="67"/>
        <v>0</v>
      </c>
    </row>
    <row r="48" spans="1:127" ht="15.75" customHeight="1">
      <c r="A48" s="73"/>
      <c r="B48" s="74"/>
      <c r="C48" s="75"/>
      <c r="D48" s="75"/>
      <c r="E48" s="75"/>
      <c r="F48" s="74"/>
      <c r="G48" s="128" t="s">
        <v>63</v>
      </c>
      <c r="H48" s="122"/>
      <c r="I48" s="122"/>
      <c r="J48" s="122"/>
      <c r="K48" s="122"/>
      <c r="L48" s="122"/>
      <c r="M48" s="123"/>
      <c r="N48" s="124" t="str">
        <f>K8</f>
        <v>LIC</v>
      </c>
      <c r="O48" s="125"/>
      <c r="P48" s="43">
        <f t="shared" ref="P48:AU48" si="68">COUNTIF(P9:P37,"LIC")</f>
        <v>0</v>
      </c>
      <c r="Q48" s="43">
        <f t="shared" si="68"/>
        <v>0</v>
      </c>
      <c r="R48" s="43">
        <f t="shared" si="68"/>
        <v>0</v>
      </c>
      <c r="S48" s="43">
        <f t="shared" si="68"/>
        <v>0</v>
      </c>
      <c r="T48" s="43">
        <f t="shared" si="68"/>
        <v>0</v>
      </c>
      <c r="U48" s="43">
        <f t="shared" si="68"/>
        <v>0</v>
      </c>
      <c r="V48" s="43">
        <f t="shared" si="68"/>
        <v>0</v>
      </c>
      <c r="W48" s="43">
        <f t="shared" si="68"/>
        <v>0</v>
      </c>
      <c r="X48" s="43">
        <f t="shared" si="68"/>
        <v>0</v>
      </c>
      <c r="Y48" s="43">
        <f t="shared" si="68"/>
        <v>0</v>
      </c>
      <c r="Z48" s="43">
        <f t="shared" si="68"/>
        <v>0</v>
      </c>
      <c r="AA48" s="43">
        <f t="shared" si="68"/>
        <v>0</v>
      </c>
      <c r="AB48" s="43">
        <f t="shared" si="68"/>
        <v>0</v>
      </c>
      <c r="AC48" s="43">
        <f t="shared" si="68"/>
        <v>0</v>
      </c>
      <c r="AD48" s="43">
        <f t="shared" si="68"/>
        <v>0</v>
      </c>
      <c r="AE48" s="43">
        <f t="shared" si="68"/>
        <v>0</v>
      </c>
      <c r="AF48" s="43">
        <f t="shared" si="68"/>
        <v>0</v>
      </c>
      <c r="AG48" s="43">
        <f t="shared" si="68"/>
        <v>0</v>
      </c>
      <c r="AH48" s="43">
        <f t="shared" si="68"/>
        <v>0</v>
      </c>
      <c r="AI48" s="43">
        <f t="shared" si="68"/>
        <v>0</v>
      </c>
      <c r="AJ48" s="43">
        <f t="shared" si="68"/>
        <v>0</v>
      </c>
      <c r="AK48" s="43">
        <f t="shared" si="68"/>
        <v>0</v>
      </c>
      <c r="AL48" s="43">
        <f t="shared" si="68"/>
        <v>0</v>
      </c>
      <c r="AM48" s="43">
        <f t="shared" si="68"/>
        <v>0</v>
      </c>
      <c r="AN48" s="43">
        <f t="shared" si="68"/>
        <v>0</v>
      </c>
      <c r="AO48" s="43">
        <f t="shared" si="68"/>
        <v>0</v>
      </c>
      <c r="AP48" s="43">
        <f t="shared" si="68"/>
        <v>0</v>
      </c>
      <c r="AQ48" s="43">
        <f t="shared" si="68"/>
        <v>0</v>
      </c>
      <c r="AR48" s="43">
        <f t="shared" si="68"/>
        <v>0</v>
      </c>
      <c r="AS48" s="43">
        <f t="shared" si="68"/>
        <v>0</v>
      </c>
      <c r="AT48" s="43">
        <f t="shared" si="68"/>
        <v>0</v>
      </c>
      <c r="AU48" s="43">
        <f t="shared" si="68"/>
        <v>0</v>
      </c>
      <c r="AV48" s="43">
        <f t="shared" ref="AV48:CA48" si="69">COUNTIF(AV9:AV37,"LIC")</f>
        <v>0</v>
      </c>
      <c r="AW48" s="43">
        <f t="shared" si="69"/>
        <v>0</v>
      </c>
      <c r="AX48" s="43">
        <f t="shared" si="69"/>
        <v>0</v>
      </c>
      <c r="AY48" s="43">
        <f t="shared" si="69"/>
        <v>0</v>
      </c>
      <c r="AZ48" s="43">
        <f t="shared" si="69"/>
        <v>0</v>
      </c>
      <c r="BA48" s="43">
        <f t="shared" si="69"/>
        <v>0</v>
      </c>
      <c r="BB48" s="43">
        <f t="shared" si="69"/>
        <v>0</v>
      </c>
      <c r="BC48" s="43">
        <f t="shared" si="69"/>
        <v>0</v>
      </c>
      <c r="BD48" s="43">
        <f t="shared" si="69"/>
        <v>0</v>
      </c>
      <c r="BE48" s="43">
        <f t="shared" si="69"/>
        <v>0</v>
      </c>
      <c r="BF48" s="43">
        <f t="shared" si="69"/>
        <v>0</v>
      </c>
      <c r="BG48" s="43">
        <f t="shared" si="69"/>
        <v>0</v>
      </c>
      <c r="BH48" s="43">
        <f t="shared" si="69"/>
        <v>0</v>
      </c>
      <c r="BI48" s="43">
        <f t="shared" si="69"/>
        <v>0</v>
      </c>
      <c r="BJ48" s="43">
        <f t="shared" si="69"/>
        <v>0</v>
      </c>
      <c r="BK48" s="43">
        <f t="shared" si="69"/>
        <v>0</v>
      </c>
      <c r="BL48" s="43">
        <f t="shared" si="69"/>
        <v>0</v>
      </c>
      <c r="BM48" s="43">
        <f t="shared" si="69"/>
        <v>0</v>
      </c>
      <c r="BN48" s="43">
        <f t="shared" si="69"/>
        <v>0</v>
      </c>
      <c r="BO48" s="43">
        <f t="shared" si="69"/>
        <v>0</v>
      </c>
      <c r="BP48" s="43">
        <f t="shared" si="69"/>
        <v>0</v>
      </c>
      <c r="BQ48" s="43">
        <f t="shared" si="69"/>
        <v>0</v>
      </c>
      <c r="BR48" s="43">
        <f t="shared" si="69"/>
        <v>0</v>
      </c>
      <c r="BS48" s="43">
        <f t="shared" si="69"/>
        <v>0</v>
      </c>
      <c r="BT48" s="43">
        <f t="shared" si="69"/>
        <v>0</v>
      </c>
      <c r="BU48" s="43">
        <f t="shared" si="69"/>
        <v>0</v>
      </c>
      <c r="BV48" s="43">
        <f t="shared" si="69"/>
        <v>0</v>
      </c>
      <c r="BW48" s="43">
        <f t="shared" si="69"/>
        <v>0</v>
      </c>
      <c r="BX48" s="43">
        <f t="shared" si="69"/>
        <v>0</v>
      </c>
      <c r="BY48" s="43">
        <f t="shared" si="69"/>
        <v>0</v>
      </c>
      <c r="BZ48" s="43">
        <f t="shared" si="69"/>
        <v>0</v>
      </c>
      <c r="CA48" s="43">
        <f t="shared" si="69"/>
        <v>0</v>
      </c>
      <c r="CB48" s="43">
        <f t="shared" ref="CB48:CW48" si="70">COUNTIF(CB9:CB37,"LIC")</f>
        <v>0</v>
      </c>
      <c r="CC48" s="43">
        <f t="shared" si="70"/>
        <v>0</v>
      </c>
      <c r="CD48" s="43">
        <f t="shared" si="70"/>
        <v>0</v>
      </c>
      <c r="CE48" s="43">
        <f t="shared" si="70"/>
        <v>0</v>
      </c>
      <c r="CF48" s="43">
        <f t="shared" si="70"/>
        <v>0</v>
      </c>
      <c r="CG48" s="43">
        <f t="shared" si="70"/>
        <v>0</v>
      </c>
      <c r="CH48" s="43">
        <f t="shared" si="70"/>
        <v>0</v>
      </c>
      <c r="CI48" s="43">
        <f t="shared" si="70"/>
        <v>0</v>
      </c>
      <c r="CJ48" s="43">
        <f t="shared" si="70"/>
        <v>0</v>
      </c>
      <c r="CK48" s="43">
        <f t="shared" si="70"/>
        <v>0</v>
      </c>
      <c r="CL48" s="43">
        <f t="shared" si="70"/>
        <v>0</v>
      </c>
      <c r="CM48" s="43">
        <f t="shared" si="70"/>
        <v>0</v>
      </c>
      <c r="CN48" s="43">
        <f t="shared" si="70"/>
        <v>0</v>
      </c>
      <c r="CO48" s="43">
        <f t="shared" si="70"/>
        <v>0</v>
      </c>
      <c r="CP48" s="43">
        <f t="shared" si="70"/>
        <v>0</v>
      </c>
      <c r="CQ48" s="43">
        <f t="shared" si="70"/>
        <v>0</v>
      </c>
      <c r="CR48" s="43">
        <f t="shared" si="70"/>
        <v>0</v>
      </c>
      <c r="CS48" s="43">
        <f t="shared" si="70"/>
        <v>0</v>
      </c>
      <c r="CT48" s="43">
        <f t="shared" si="70"/>
        <v>0</v>
      </c>
      <c r="CU48" s="43">
        <f t="shared" si="70"/>
        <v>0</v>
      </c>
      <c r="CV48" s="43">
        <f t="shared" si="70"/>
        <v>0</v>
      </c>
      <c r="CW48" s="43">
        <f t="shared" si="70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71">CX48+CZ48+DB48+DD48+DF48+DH48+DJ48+DL48+DN48+DP48+DR48+DT48</f>
        <v>0</v>
      </c>
      <c r="DW48" s="38">
        <f t="shared" si="71"/>
        <v>0</v>
      </c>
    </row>
    <row r="49" spans="1:127" ht="15.75" customHeight="1">
      <c r="A49" s="73"/>
      <c r="B49" s="74"/>
      <c r="C49" s="75"/>
      <c r="D49" s="75"/>
      <c r="E49" s="75"/>
      <c r="F49" s="74"/>
      <c r="G49" s="121" t="s">
        <v>64</v>
      </c>
      <c r="H49" s="122"/>
      <c r="I49" s="122"/>
      <c r="J49" s="122"/>
      <c r="K49" s="122"/>
      <c r="L49" s="122"/>
      <c r="M49" s="123"/>
      <c r="N49" s="124" t="str">
        <f>L8</f>
        <v>CLM</v>
      </c>
      <c r="O49" s="125"/>
      <c r="P49" s="43">
        <f t="shared" ref="P49:AU49" si="72">COUNTIF(P9:P37,"CLM")</f>
        <v>0</v>
      </c>
      <c r="Q49" s="43">
        <f t="shared" si="72"/>
        <v>0</v>
      </c>
      <c r="R49" s="43">
        <f t="shared" si="72"/>
        <v>0</v>
      </c>
      <c r="S49" s="43">
        <f t="shared" si="72"/>
        <v>0</v>
      </c>
      <c r="T49" s="43">
        <f t="shared" si="72"/>
        <v>0</v>
      </c>
      <c r="U49" s="43">
        <f t="shared" si="72"/>
        <v>0</v>
      </c>
      <c r="V49" s="43">
        <f t="shared" si="72"/>
        <v>0</v>
      </c>
      <c r="W49" s="43">
        <f t="shared" si="72"/>
        <v>0</v>
      </c>
      <c r="X49" s="43">
        <f t="shared" si="72"/>
        <v>0</v>
      </c>
      <c r="Y49" s="43">
        <f t="shared" si="72"/>
        <v>0</v>
      </c>
      <c r="Z49" s="43">
        <f t="shared" si="72"/>
        <v>0</v>
      </c>
      <c r="AA49" s="43">
        <f t="shared" si="72"/>
        <v>0</v>
      </c>
      <c r="AB49" s="43">
        <f t="shared" si="72"/>
        <v>0</v>
      </c>
      <c r="AC49" s="43">
        <f t="shared" si="72"/>
        <v>0</v>
      </c>
      <c r="AD49" s="43">
        <f t="shared" si="72"/>
        <v>0</v>
      </c>
      <c r="AE49" s="43">
        <f t="shared" si="72"/>
        <v>0</v>
      </c>
      <c r="AF49" s="43">
        <f t="shared" si="72"/>
        <v>0</v>
      </c>
      <c r="AG49" s="43">
        <f t="shared" si="72"/>
        <v>0</v>
      </c>
      <c r="AH49" s="43">
        <f t="shared" si="72"/>
        <v>0</v>
      </c>
      <c r="AI49" s="43">
        <f t="shared" si="72"/>
        <v>0</v>
      </c>
      <c r="AJ49" s="43">
        <f t="shared" si="72"/>
        <v>0</v>
      </c>
      <c r="AK49" s="43">
        <f t="shared" si="72"/>
        <v>0</v>
      </c>
      <c r="AL49" s="43">
        <f t="shared" si="72"/>
        <v>0</v>
      </c>
      <c r="AM49" s="43">
        <f t="shared" si="72"/>
        <v>0</v>
      </c>
      <c r="AN49" s="43">
        <f t="shared" si="72"/>
        <v>0</v>
      </c>
      <c r="AO49" s="43">
        <f t="shared" si="72"/>
        <v>0</v>
      </c>
      <c r="AP49" s="43">
        <f t="shared" si="72"/>
        <v>0</v>
      </c>
      <c r="AQ49" s="43">
        <f t="shared" si="72"/>
        <v>0</v>
      </c>
      <c r="AR49" s="43">
        <f t="shared" si="72"/>
        <v>0</v>
      </c>
      <c r="AS49" s="43">
        <f t="shared" si="72"/>
        <v>0</v>
      </c>
      <c r="AT49" s="43">
        <f t="shared" si="72"/>
        <v>0</v>
      </c>
      <c r="AU49" s="43">
        <f t="shared" si="72"/>
        <v>0</v>
      </c>
      <c r="AV49" s="43">
        <f t="shared" ref="AV49:CA49" si="73">COUNTIF(AV9:AV37,"CLM")</f>
        <v>0</v>
      </c>
      <c r="AW49" s="43">
        <f t="shared" si="73"/>
        <v>0</v>
      </c>
      <c r="AX49" s="43">
        <f t="shared" si="73"/>
        <v>0</v>
      </c>
      <c r="AY49" s="43">
        <f t="shared" si="73"/>
        <v>0</v>
      </c>
      <c r="AZ49" s="43">
        <f t="shared" si="73"/>
        <v>0</v>
      </c>
      <c r="BA49" s="43">
        <f t="shared" si="73"/>
        <v>0</v>
      </c>
      <c r="BB49" s="43">
        <f t="shared" si="73"/>
        <v>0</v>
      </c>
      <c r="BC49" s="43">
        <f t="shared" si="73"/>
        <v>0</v>
      </c>
      <c r="BD49" s="43">
        <f t="shared" si="73"/>
        <v>0</v>
      </c>
      <c r="BE49" s="43">
        <f t="shared" si="73"/>
        <v>0</v>
      </c>
      <c r="BF49" s="43">
        <f t="shared" si="73"/>
        <v>0</v>
      </c>
      <c r="BG49" s="43">
        <f t="shared" si="73"/>
        <v>0</v>
      </c>
      <c r="BH49" s="43">
        <f t="shared" si="73"/>
        <v>0</v>
      </c>
      <c r="BI49" s="43">
        <f t="shared" si="73"/>
        <v>0</v>
      </c>
      <c r="BJ49" s="43">
        <f t="shared" si="73"/>
        <v>0</v>
      </c>
      <c r="BK49" s="43">
        <f t="shared" si="73"/>
        <v>0</v>
      </c>
      <c r="BL49" s="43">
        <f t="shared" si="73"/>
        <v>0</v>
      </c>
      <c r="BM49" s="43">
        <f t="shared" si="73"/>
        <v>0</v>
      </c>
      <c r="BN49" s="43">
        <f t="shared" si="73"/>
        <v>0</v>
      </c>
      <c r="BO49" s="43">
        <f t="shared" si="73"/>
        <v>0</v>
      </c>
      <c r="BP49" s="43">
        <f t="shared" si="73"/>
        <v>0</v>
      </c>
      <c r="BQ49" s="43">
        <f t="shared" si="73"/>
        <v>0</v>
      </c>
      <c r="BR49" s="43">
        <f t="shared" si="73"/>
        <v>0</v>
      </c>
      <c r="BS49" s="43">
        <f t="shared" si="73"/>
        <v>0</v>
      </c>
      <c r="BT49" s="43">
        <f t="shared" si="73"/>
        <v>0</v>
      </c>
      <c r="BU49" s="43">
        <f t="shared" si="73"/>
        <v>0</v>
      </c>
      <c r="BV49" s="43">
        <f t="shared" si="73"/>
        <v>0</v>
      </c>
      <c r="BW49" s="43">
        <f t="shared" si="73"/>
        <v>0</v>
      </c>
      <c r="BX49" s="43">
        <f t="shared" si="73"/>
        <v>0</v>
      </c>
      <c r="BY49" s="43">
        <f t="shared" si="73"/>
        <v>0</v>
      </c>
      <c r="BZ49" s="43">
        <f t="shared" si="73"/>
        <v>0</v>
      </c>
      <c r="CA49" s="43">
        <f t="shared" si="73"/>
        <v>0</v>
      </c>
      <c r="CB49" s="43">
        <f t="shared" ref="CB49:CW49" si="74">COUNTIF(CB9:CB37,"CLM")</f>
        <v>0</v>
      </c>
      <c r="CC49" s="43">
        <f t="shared" si="74"/>
        <v>0</v>
      </c>
      <c r="CD49" s="43">
        <f t="shared" si="74"/>
        <v>0</v>
      </c>
      <c r="CE49" s="43">
        <f t="shared" si="74"/>
        <v>0</v>
      </c>
      <c r="CF49" s="43">
        <f t="shared" si="74"/>
        <v>0</v>
      </c>
      <c r="CG49" s="43">
        <f t="shared" si="74"/>
        <v>0</v>
      </c>
      <c r="CH49" s="43">
        <f t="shared" si="74"/>
        <v>0</v>
      </c>
      <c r="CI49" s="43">
        <f t="shared" si="74"/>
        <v>0</v>
      </c>
      <c r="CJ49" s="43">
        <f t="shared" si="74"/>
        <v>0</v>
      </c>
      <c r="CK49" s="43">
        <f t="shared" si="74"/>
        <v>0</v>
      </c>
      <c r="CL49" s="43">
        <f t="shared" si="74"/>
        <v>0</v>
      </c>
      <c r="CM49" s="43">
        <f t="shared" si="74"/>
        <v>0</v>
      </c>
      <c r="CN49" s="43">
        <f t="shared" si="74"/>
        <v>0</v>
      </c>
      <c r="CO49" s="43">
        <f t="shared" si="74"/>
        <v>0</v>
      </c>
      <c r="CP49" s="43">
        <f t="shared" si="74"/>
        <v>0</v>
      </c>
      <c r="CQ49" s="43">
        <f t="shared" si="74"/>
        <v>0</v>
      </c>
      <c r="CR49" s="43">
        <f t="shared" si="74"/>
        <v>0</v>
      </c>
      <c r="CS49" s="43">
        <f t="shared" si="74"/>
        <v>0</v>
      </c>
      <c r="CT49" s="43">
        <f t="shared" si="74"/>
        <v>0</v>
      </c>
      <c r="CU49" s="43">
        <f t="shared" si="74"/>
        <v>0</v>
      </c>
      <c r="CV49" s="43">
        <f t="shared" si="74"/>
        <v>0</v>
      </c>
      <c r="CW49" s="43">
        <f t="shared" si="74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75">CX49+CZ49+DB49+DD49+DF49+DH49+DJ49+DL49+DN49+DP49+DR49+DT49</f>
        <v>0</v>
      </c>
      <c r="DW49" s="38">
        <f t="shared" si="75"/>
        <v>0</v>
      </c>
    </row>
    <row r="50" spans="1:127" ht="15.75" customHeight="1">
      <c r="A50" s="73"/>
      <c r="B50" s="74"/>
      <c r="C50" s="75"/>
      <c r="D50" s="75"/>
      <c r="E50" s="75"/>
      <c r="F50" s="74"/>
      <c r="G50" s="126" t="s">
        <v>65</v>
      </c>
      <c r="H50" s="122"/>
      <c r="I50" s="122"/>
      <c r="J50" s="122"/>
      <c r="K50" s="122"/>
      <c r="L50" s="122"/>
      <c r="M50" s="123"/>
      <c r="N50" s="124" t="str">
        <f>M8</f>
        <v>SFF</v>
      </c>
      <c r="O50" s="125"/>
      <c r="P50" s="43">
        <f t="shared" ref="P50:AU50" si="76">COUNTIF(P9:P37,"SFF")</f>
        <v>0</v>
      </c>
      <c r="Q50" s="43">
        <f t="shared" si="76"/>
        <v>0</v>
      </c>
      <c r="R50" s="43">
        <f t="shared" si="76"/>
        <v>0</v>
      </c>
      <c r="S50" s="43">
        <f t="shared" si="76"/>
        <v>0</v>
      </c>
      <c r="T50" s="43">
        <f t="shared" si="76"/>
        <v>0</v>
      </c>
      <c r="U50" s="43">
        <f t="shared" si="76"/>
        <v>0</v>
      </c>
      <c r="V50" s="43">
        <f t="shared" si="76"/>
        <v>0</v>
      </c>
      <c r="W50" s="43">
        <f t="shared" si="76"/>
        <v>0</v>
      </c>
      <c r="X50" s="43">
        <f t="shared" si="76"/>
        <v>0</v>
      </c>
      <c r="Y50" s="43">
        <f t="shared" si="76"/>
        <v>0</v>
      </c>
      <c r="Z50" s="43">
        <f t="shared" si="76"/>
        <v>0</v>
      </c>
      <c r="AA50" s="43">
        <f t="shared" si="76"/>
        <v>0</v>
      </c>
      <c r="AB50" s="43">
        <f t="shared" si="76"/>
        <v>0</v>
      </c>
      <c r="AC50" s="43">
        <f t="shared" si="76"/>
        <v>0</v>
      </c>
      <c r="AD50" s="43">
        <f t="shared" si="76"/>
        <v>0</v>
      </c>
      <c r="AE50" s="43">
        <f t="shared" si="76"/>
        <v>0</v>
      </c>
      <c r="AF50" s="43">
        <f t="shared" si="76"/>
        <v>0</v>
      </c>
      <c r="AG50" s="43">
        <f t="shared" si="76"/>
        <v>0</v>
      </c>
      <c r="AH50" s="43">
        <f t="shared" si="76"/>
        <v>0</v>
      </c>
      <c r="AI50" s="43">
        <f t="shared" si="76"/>
        <v>0</v>
      </c>
      <c r="AJ50" s="43">
        <f t="shared" si="76"/>
        <v>0</v>
      </c>
      <c r="AK50" s="43">
        <f t="shared" si="76"/>
        <v>0</v>
      </c>
      <c r="AL50" s="43">
        <f t="shared" si="76"/>
        <v>0</v>
      </c>
      <c r="AM50" s="43">
        <f t="shared" si="76"/>
        <v>0</v>
      </c>
      <c r="AN50" s="43">
        <f t="shared" si="76"/>
        <v>0</v>
      </c>
      <c r="AO50" s="43">
        <f t="shared" si="76"/>
        <v>0</v>
      </c>
      <c r="AP50" s="43">
        <f t="shared" si="76"/>
        <v>0</v>
      </c>
      <c r="AQ50" s="43">
        <f t="shared" si="76"/>
        <v>0</v>
      </c>
      <c r="AR50" s="43">
        <f t="shared" si="76"/>
        <v>0</v>
      </c>
      <c r="AS50" s="43">
        <f t="shared" si="76"/>
        <v>0</v>
      </c>
      <c r="AT50" s="43">
        <f t="shared" si="76"/>
        <v>0</v>
      </c>
      <c r="AU50" s="43">
        <f t="shared" si="76"/>
        <v>0</v>
      </c>
      <c r="AV50" s="43">
        <f t="shared" ref="AV50:CA50" si="77">COUNTIF(AV9:AV37,"SFF")</f>
        <v>0</v>
      </c>
      <c r="AW50" s="43">
        <f t="shared" si="77"/>
        <v>0</v>
      </c>
      <c r="AX50" s="43">
        <f t="shared" si="77"/>
        <v>0</v>
      </c>
      <c r="AY50" s="43">
        <f t="shared" si="77"/>
        <v>0</v>
      </c>
      <c r="AZ50" s="43">
        <f t="shared" si="77"/>
        <v>0</v>
      </c>
      <c r="BA50" s="43">
        <f t="shared" si="77"/>
        <v>0</v>
      </c>
      <c r="BB50" s="43">
        <f t="shared" si="77"/>
        <v>0</v>
      </c>
      <c r="BC50" s="43">
        <f t="shared" si="77"/>
        <v>0</v>
      </c>
      <c r="BD50" s="43">
        <f t="shared" si="77"/>
        <v>0</v>
      </c>
      <c r="BE50" s="43">
        <f t="shared" si="77"/>
        <v>0</v>
      </c>
      <c r="BF50" s="43">
        <f t="shared" si="77"/>
        <v>0</v>
      </c>
      <c r="BG50" s="43">
        <f t="shared" si="77"/>
        <v>0</v>
      </c>
      <c r="BH50" s="43">
        <f t="shared" si="77"/>
        <v>0</v>
      </c>
      <c r="BI50" s="43">
        <f t="shared" si="77"/>
        <v>0</v>
      </c>
      <c r="BJ50" s="43">
        <f t="shared" si="77"/>
        <v>0</v>
      </c>
      <c r="BK50" s="43">
        <f t="shared" si="77"/>
        <v>0</v>
      </c>
      <c r="BL50" s="43">
        <f t="shared" si="77"/>
        <v>0</v>
      </c>
      <c r="BM50" s="43">
        <f t="shared" si="77"/>
        <v>0</v>
      </c>
      <c r="BN50" s="43">
        <f t="shared" si="77"/>
        <v>0</v>
      </c>
      <c r="BO50" s="43">
        <f t="shared" si="77"/>
        <v>0</v>
      </c>
      <c r="BP50" s="43">
        <f t="shared" si="77"/>
        <v>0</v>
      </c>
      <c r="BQ50" s="43">
        <f t="shared" si="77"/>
        <v>0</v>
      </c>
      <c r="BR50" s="43">
        <f t="shared" si="77"/>
        <v>0</v>
      </c>
      <c r="BS50" s="43">
        <f t="shared" si="77"/>
        <v>0</v>
      </c>
      <c r="BT50" s="43">
        <f t="shared" si="77"/>
        <v>0</v>
      </c>
      <c r="BU50" s="43">
        <f t="shared" si="77"/>
        <v>0</v>
      </c>
      <c r="BV50" s="43">
        <f t="shared" si="77"/>
        <v>0</v>
      </c>
      <c r="BW50" s="43">
        <f t="shared" si="77"/>
        <v>0</v>
      </c>
      <c r="BX50" s="43">
        <f t="shared" si="77"/>
        <v>0</v>
      </c>
      <c r="BY50" s="43">
        <f t="shared" si="77"/>
        <v>0</v>
      </c>
      <c r="BZ50" s="43">
        <f t="shared" si="77"/>
        <v>0</v>
      </c>
      <c r="CA50" s="43">
        <f t="shared" si="77"/>
        <v>0</v>
      </c>
      <c r="CB50" s="43">
        <f t="shared" ref="CB50:CW50" si="78">COUNTIF(CB9:CB37,"SFF")</f>
        <v>0</v>
      </c>
      <c r="CC50" s="43">
        <f t="shared" si="78"/>
        <v>0</v>
      </c>
      <c r="CD50" s="43">
        <f t="shared" si="78"/>
        <v>0</v>
      </c>
      <c r="CE50" s="43">
        <f t="shared" si="78"/>
        <v>0</v>
      </c>
      <c r="CF50" s="43">
        <f t="shared" si="78"/>
        <v>0</v>
      </c>
      <c r="CG50" s="43">
        <f t="shared" si="78"/>
        <v>0</v>
      </c>
      <c r="CH50" s="43">
        <f t="shared" si="78"/>
        <v>0</v>
      </c>
      <c r="CI50" s="43">
        <f t="shared" si="78"/>
        <v>0</v>
      </c>
      <c r="CJ50" s="43">
        <f t="shared" si="78"/>
        <v>0</v>
      </c>
      <c r="CK50" s="43">
        <f t="shared" si="78"/>
        <v>0</v>
      </c>
      <c r="CL50" s="43">
        <f t="shared" si="78"/>
        <v>0</v>
      </c>
      <c r="CM50" s="43">
        <f t="shared" si="78"/>
        <v>0</v>
      </c>
      <c r="CN50" s="43">
        <f t="shared" si="78"/>
        <v>0</v>
      </c>
      <c r="CO50" s="43">
        <f t="shared" si="78"/>
        <v>0</v>
      </c>
      <c r="CP50" s="43">
        <f t="shared" si="78"/>
        <v>0</v>
      </c>
      <c r="CQ50" s="43">
        <f t="shared" si="78"/>
        <v>0</v>
      </c>
      <c r="CR50" s="43">
        <f t="shared" si="78"/>
        <v>0</v>
      </c>
      <c r="CS50" s="43">
        <f t="shared" si="78"/>
        <v>0</v>
      </c>
      <c r="CT50" s="43">
        <f t="shared" si="78"/>
        <v>0</v>
      </c>
      <c r="CU50" s="43">
        <f t="shared" si="78"/>
        <v>0</v>
      </c>
      <c r="CV50" s="43">
        <f t="shared" si="78"/>
        <v>0</v>
      </c>
      <c r="CW50" s="43">
        <f t="shared" si="78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79">CX50+CZ50+DB50+DD50+DF50+DH50+DJ50+DL50+DN50+DP50+DR50+DT50</f>
        <v>0</v>
      </c>
      <c r="DW50" s="38">
        <f t="shared" si="79"/>
        <v>0</v>
      </c>
    </row>
    <row r="51" spans="1:127" ht="15.75" customHeight="1">
      <c r="A51" s="73"/>
      <c r="B51" s="74"/>
      <c r="C51" s="75"/>
      <c r="D51" s="75"/>
      <c r="E51" s="75"/>
      <c r="F51" s="74"/>
      <c r="G51" s="127" t="s">
        <v>66</v>
      </c>
      <c r="H51" s="122"/>
      <c r="I51" s="122"/>
      <c r="J51" s="122"/>
      <c r="K51" s="122"/>
      <c r="L51" s="122"/>
      <c r="M51" s="123"/>
      <c r="N51" s="124" t="str">
        <f>N8</f>
        <v>RET</v>
      </c>
      <c r="O51" s="125"/>
      <c r="P51" s="43">
        <f t="shared" ref="P51:AU51" si="80">COUNTIF(P9:P37,"RET")</f>
        <v>0</v>
      </c>
      <c r="Q51" s="43">
        <f t="shared" si="80"/>
        <v>0</v>
      </c>
      <c r="R51" s="43">
        <f t="shared" si="80"/>
        <v>0</v>
      </c>
      <c r="S51" s="43">
        <f t="shared" si="80"/>
        <v>0</v>
      </c>
      <c r="T51" s="43">
        <f t="shared" si="80"/>
        <v>0</v>
      </c>
      <c r="U51" s="43">
        <f t="shared" si="80"/>
        <v>0</v>
      </c>
      <c r="V51" s="43">
        <f t="shared" si="80"/>
        <v>0</v>
      </c>
      <c r="W51" s="43">
        <f t="shared" si="80"/>
        <v>0</v>
      </c>
      <c r="X51" s="43">
        <f t="shared" si="80"/>
        <v>0</v>
      </c>
      <c r="Y51" s="43">
        <f t="shared" si="80"/>
        <v>0</v>
      </c>
      <c r="Z51" s="43">
        <f t="shared" si="80"/>
        <v>0</v>
      </c>
      <c r="AA51" s="43">
        <f t="shared" si="80"/>
        <v>0</v>
      </c>
      <c r="AB51" s="43">
        <f t="shared" si="80"/>
        <v>0</v>
      </c>
      <c r="AC51" s="43">
        <f t="shared" si="80"/>
        <v>0</v>
      </c>
      <c r="AD51" s="43">
        <f t="shared" si="80"/>
        <v>0</v>
      </c>
      <c r="AE51" s="43">
        <f t="shared" si="80"/>
        <v>0</v>
      </c>
      <c r="AF51" s="43">
        <f t="shared" si="80"/>
        <v>0</v>
      </c>
      <c r="AG51" s="43">
        <f t="shared" si="80"/>
        <v>0</v>
      </c>
      <c r="AH51" s="43">
        <f t="shared" si="80"/>
        <v>0</v>
      </c>
      <c r="AI51" s="43">
        <f t="shared" si="80"/>
        <v>0</v>
      </c>
      <c r="AJ51" s="43">
        <f t="shared" si="80"/>
        <v>0</v>
      </c>
      <c r="AK51" s="43">
        <f t="shared" si="80"/>
        <v>0</v>
      </c>
      <c r="AL51" s="43">
        <f t="shared" si="80"/>
        <v>0</v>
      </c>
      <c r="AM51" s="43">
        <f t="shared" si="80"/>
        <v>0</v>
      </c>
      <c r="AN51" s="43">
        <f t="shared" si="80"/>
        <v>0</v>
      </c>
      <c r="AO51" s="43">
        <f t="shared" si="80"/>
        <v>0</v>
      </c>
      <c r="AP51" s="43">
        <f t="shared" si="80"/>
        <v>0</v>
      </c>
      <c r="AQ51" s="43">
        <f t="shared" si="80"/>
        <v>0</v>
      </c>
      <c r="AR51" s="43">
        <f t="shared" si="80"/>
        <v>0</v>
      </c>
      <c r="AS51" s="43">
        <f t="shared" si="80"/>
        <v>0</v>
      </c>
      <c r="AT51" s="43">
        <f t="shared" si="80"/>
        <v>0</v>
      </c>
      <c r="AU51" s="43">
        <f t="shared" si="80"/>
        <v>0</v>
      </c>
      <c r="AV51" s="43">
        <f t="shared" ref="AV51:CA51" si="81">COUNTIF(AV9:AV37,"RET")</f>
        <v>0</v>
      </c>
      <c r="AW51" s="43">
        <f t="shared" si="81"/>
        <v>0</v>
      </c>
      <c r="AX51" s="43">
        <f t="shared" si="81"/>
        <v>0</v>
      </c>
      <c r="AY51" s="43">
        <f t="shared" si="81"/>
        <v>0</v>
      </c>
      <c r="AZ51" s="43">
        <f t="shared" si="81"/>
        <v>0</v>
      </c>
      <c r="BA51" s="43">
        <f t="shared" si="81"/>
        <v>0</v>
      </c>
      <c r="BB51" s="43">
        <f t="shared" si="81"/>
        <v>0</v>
      </c>
      <c r="BC51" s="43">
        <f t="shared" si="81"/>
        <v>0</v>
      </c>
      <c r="BD51" s="43">
        <f t="shared" si="81"/>
        <v>0</v>
      </c>
      <c r="BE51" s="43">
        <f t="shared" si="81"/>
        <v>0</v>
      </c>
      <c r="BF51" s="43">
        <f t="shared" si="81"/>
        <v>0</v>
      </c>
      <c r="BG51" s="43">
        <f t="shared" si="81"/>
        <v>0</v>
      </c>
      <c r="BH51" s="43">
        <f t="shared" si="81"/>
        <v>0</v>
      </c>
      <c r="BI51" s="43">
        <f t="shared" si="81"/>
        <v>0</v>
      </c>
      <c r="BJ51" s="43">
        <f t="shared" si="81"/>
        <v>0</v>
      </c>
      <c r="BK51" s="43">
        <f t="shared" si="81"/>
        <v>0</v>
      </c>
      <c r="BL51" s="43">
        <f t="shared" si="81"/>
        <v>0</v>
      </c>
      <c r="BM51" s="43">
        <f t="shared" si="81"/>
        <v>0</v>
      </c>
      <c r="BN51" s="43">
        <f t="shared" si="81"/>
        <v>0</v>
      </c>
      <c r="BO51" s="43">
        <f t="shared" si="81"/>
        <v>0</v>
      </c>
      <c r="BP51" s="43">
        <f t="shared" si="81"/>
        <v>0</v>
      </c>
      <c r="BQ51" s="43">
        <f t="shared" si="81"/>
        <v>0</v>
      </c>
      <c r="BR51" s="43">
        <f t="shared" si="81"/>
        <v>0</v>
      </c>
      <c r="BS51" s="43">
        <f t="shared" si="81"/>
        <v>0</v>
      </c>
      <c r="BT51" s="43">
        <f t="shared" si="81"/>
        <v>0</v>
      </c>
      <c r="BU51" s="43">
        <f t="shared" si="81"/>
        <v>0</v>
      </c>
      <c r="BV51" s="43">
        <f t="shared" si="81"/>
        <v>0</v>
      </c>
      <c r="BW51" s="43">
        <f t="shared" si="81"/>
        <v>0</v>
      </c>
      <c r="BX51" s="43">
        <f t="shared" si="81"/>
        <v>0</v>
      </c>
      <c r="BY51" s="43">
        <f t="shared" si="81"/>
        <v>0</v>
      </c>
      <c r="BZ51" s="43">
        <f t="shared" si="81"/>
        <v>0</v>
      </c>
      <c r="CA51" s="43">
        <f t="shared" si="81"/>
        <v>0</v>
      </c>
      <c r="CB51" s="43">
        <f t="shared" ref="CB51:CW51" si="82">COUNTIF(CB9:CB37,"RET")</f>
        <v>0</v>
      </c>
      <c r="CC51" s="43">
        <f t="shared" si="82"/>
        <v>0</v>
      </c>
      <c r="CD51" s="43">
        <f t="shared" si="82"/>
        <v>0</v>
      </c>
      <c r="CE51" s="43">
        <f t="shared" si="82"/>
        <v>0</v>
      </c>
      <c r="CF51" s="43">
        <f t="shared" si="82"/>
        <v>0</v>
      </c>
      <c r="CG51" s="43">
        <f t="shared" si="82"/>
        <v>0</v>
      </c>
      <c r="CH51" s="43">
        <f t="shared" si="82"/>
        <v>0</v>
      </c>
      <c r="CI51" s="43">
        <f t="shared" si="82"/>
        <v>0</v>
      </c>
      <c r="CJ51" s="43">
        <f t="shared" si="82"/>
        <v>0</v>
      </c>
      <c r="CK51" s="43">
        <f t="shared" si="82"/>
        <v>0</v>
      </c>
      <c r="CL51" s="43">
        <f t="shared" si="82"/>
        <v>0</v>
      </c>
      <c r="CM51" s="43">
        <f t="shared" si="82"/>
        <v>0</v>
      </c>
      <c r="CN51" s="43">
        <f t="shared" si="82"/>
        <v>0</v>
      </c>
      <c r="CO51" s="43">
        <f t="shared" si="82"/>
        <v>0</v>
      </c>
      <c r="CP51" s="43">
        <f t="shared" si="82"/>
        <v>0</v>
      </c>
      <c r="CQ51" s="43">
        <f t="shared" si="82"/>
        <v>0</v>
      </c>
      <c r="CR51" s="43">
        <f t="shared" si="82"/>
        <v>0</v>
      </c>
      <c r="CS51" s="43">
        <f t="shared" si="82"/>
        <v>0</v>
      </c>
      <c r="CT51" s="43">
        <f t="shared" si="82"/>
        <v>0</v>
      </c>
      <c r="CU51" s="43">
        <f t="shared" si="82"/>
        <v>0</v>
      </c>
      <c r="CV51" s="43">
        <f t="shared" si="82"/>
        <v>0</v>
      </c>
      <c r="CW51" s="43">
        <f t="shared" si="82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83">CX51+CZ51+DB51+DD51+DF51+DH51+DJ51+DL51+DN51+DP51+DR51+DT51</f>
        <v>0</v>
      </c>
      <c r="DW51" s="38">
        <f t="shared" si="83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6:C6"/>
    <mergeCell ref="G6:O7"/>
    <mergeCell ref="A7:C7"/>
    <mergeCell ref="G44:M44"/>
    <mergeCell ref="N44:O4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G49:M49"/>
    <mergeCell ref="N49:O49"/>
    <mergeCell ref="G50:M50"/>
    <mergeCell ref="N50:O50"/>
    <mergeCell ref="G51:M51"/>
    <mergeCell ref="N51:O5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3">
    <cfRule type="containsText" dxfId="78" priority="1" operator="containsText" text="RETIRADO">
      <formula>NOT(ISERROR(SEARCH(("RETIRADO"),(E9))))</formula>
    </cfRule>
  </conditionalFormatting>
  <conditionalFormatting sqref="E9:E43">
    <cfRule type="containsText" dxfId="77" priority="2" operator="containsText" text="EN FORMACIÓN">
      <formula>NOT(ISERROR(SEARCH(("EN FORMACIÓN"),(E9))))</formula>
    </cfRule>
  </conditionalFormatting>
  <conditionalFormatting sqref="F9:F43">
    <cfRule type="cellIs" dxfId="76" priority="3" operator="equal">
      <formula>"REVISAR FALTAS"</formula>
    </cfRule>
  </conditionalFormatting>
  <conditionalFormatting sqref="F9:F43">
    <cfRule type="cellIs" dxfId="75" priority="4" operator="equal">
      <formula>"CON FALTAS"</formula>
    </cfRule>
  </conditionalFormatting>
  <conditionalFormatting sqref="F9:F43">
    <cfRule type="cellIs" dxfId="74" priority="5" operator="equal">
      <formula>"FALTAS INTERMITENTES"</formula>
    </cfRule>
  </conditionalFormatting>
  <conditionalFormatting sqref="G8:N8 P9:CW43">
    <cfRule type="cellIs" dxfId="73" priority="6" operator="equal">
      <formula>"RET"</formula>
    </cfRule>
  </conditionalFormatting>
  <conditionalFormatting sqref="G8:N8 P9:CW43">
    <cfRule type="cellIs" dxfId="72" priority="7" operator="equal">
      <formula>"SFF"</formula>
    </cfRule>
  </conditionalFormatting>
  <conditionalFormatting sqref="G8:N8 P9:CW4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43">
    <cfRule type="cellIs" dxfId="69" priority="10" operator="equal">
      <formula>"INC"</formula>
    </cfRule>
  </conditionalFormatting>
  <conditionalFormatting sqref="G8:N8 P9:CW43">
    <cfRule type="cellIs" dxfId="68" priority="11" operator="equal">
      <formula>"SE"</formula>
    </cfRule>
  </conditionalFormatting>
  <conditionalFormatting sqref="G8:N8 P9:CW43">
    <cfRule type="cellIs" dxfId="67" priority="12" operator="equal">
      <formula>"CE"</formula>
    </cfRule>
  </conditionalFormatting>
  <conditionalFormatting sqref="G8:N8 P9:CW43">
    <cfRule type="cellIs" dxfId="66" priority="13" operator="equal">
      <formula>"A"</formula>
    </cfRule>
  </conditionalFormatting>
  <conditionalFormatting sqref="P44:CW51 G9:O43">
    <cfRule type="cellIs" dxfId="65" priority="14" operator="equal">
      <formula>0</formula>
    </cfRule>
  </conditionalFormatting>
  <conditionalFormatting sqref="N44:O51">
    <cfRule type="cellIs" dxfId="64" priority="15" operator="equal">
      <formula>"RET"</formula>
    </cfRule>
  </conditionalFormatting>
  <conditionalFormatting sqref="N44:O51">
    <cfRule type="cellIs" dxfId="63" priority="16" operator="equal">
      <formula>"SFF"</formula>
    </cfRule>
  </conditionalFormatting>
  <conditionalFormatting sqref="N44:O51">
    <cfRule type="cellIs" dxfId="62" priority="17" operator="equal">
      <formula>"CLM"</formula>
    </cfRule>
  </conditionalFormatting>
  <conditionalFormatting sqref="N44:O51">
    <cfRule type="cellIs" dxfId="61" priority="18" operator="equal">
      <formula>"LIC"</formula>
    </cfRule>
  </conditionalFormatting>
  <conditionalFormatting sqref="N44:O51">
    <cfRule type="cellIs" dxfId="60" priority="19" operator="equal">
      <formula>"INC"</formula>
    </cfRule>
  </conditionalFormatting>
  <conditionalFormatting sqref="N44:O51">
    <cfRule type="cellIs" dxfId="59" priority="20" operator="equal">
      <formula>"SE"</formula>
    </cfRule>
  </conditionalFormatting>
  <conditionalFormatting sqref="N44:O51">
    <cfRule type="cellIs" dxfId="58" priority="21" operator="equal">
      <formula>"CE"</formula>
    </cfRule>
  </conditionalFormatting>
  <conditionalFormatting sqref="N44:O51">
    <cfRule type="cellIs" dxfId="57" priority="22" operator="equal">
      <formula>"A"</formula>
    </cfRule>
  </conditionalFormatting>
  <conditionalFormatting sqref="O9:O43">
    <cfRule type="cellIs" dxfId="56" priority="23" operator="greaterThan">
      <formula>0.4</formula>
    </cfRule>
  </conditionalFormatting>
  <conditionalFormatting sqref="O9:O43">
    <cfRule type="cellIs" dxfId="55" priority="24" operator="between">
      <formula>0.21</formula>
      <formula>0.4</formula>
    </cfRule>
  </conditionalFormatting>
  <conditionalFormatting sqref="O9:O4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4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5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2" xr:uid="{00000000-0002-0000-0000-000001000000}">
      <formula1>$DY$9:$DY$19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topLeftCell="I8" workbookViewId="0">
      <selection activeCell="L10" sqref="L10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5.625" customWidth="1"/>
    <col min="12" max="26" width="12.625" customWidth="1"/>
  </cols>
  <sheetData>
    <row r="1" spans="1:26" ht="14.25" customHeight="1">
      <c r="A1" s="164">
        <v>0</v>
      </c>
      <c r="B1" s="108"/>
      <c r="C1" s="108"/>
      <c r="D1" s="108"/>
      <c r="E1" s="108"/>
      <c r="F1" s="108"/>
      <c r="G1" s="108"/>
      <c r="H1" s="108"/>
      <c r="I1" s="108"/>
      <c r="J1" s="94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08"/>
      <c r="B2" s="108"/>
      <c r="C2" s="108"/>
      <c r="D2" s="108"/>
      <c r="E2" s="108"/>
      <c r="F2" s="108"/>
      <c r="G2" s="108"/>
      <c r="H2" s="108"/>
      <c r="I2" s="108"/>
      <c r="J2" s="94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162" t="s">
        <v>5</v>
      </c>
      <c r="B3" s="138"/>
      <c r="C3" s="165" t="s">
        <v>59</v>
      </c>
      <c r="D3" s="88"/>
      <c r="E3" s="138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162" t="s">
        <v>16</v>
      </c>
      <c r="B4" s="138"/>
      <c r="C4" s="170">
        <v>3458742</v>
      </c>
      <c r="D4" s="171"/>
      <c r="E4" s="172"/>
      <c r="F4" s="51" t="s">
        <v>67</v>
      </c>
      <c r="G4" s="52">
        <v>2</v>
      </c>
      <c r="H4" s="50" t="s">
        <v>68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162" t="s">
        <v>8</v>
      </c>
      <c r="B5" s="138"/>
      <c r="C5" s="173" t="s">
        <v>97</v>
      </c>
      <c r="D5" s="174"/>
      <c r="E5" s="175"/>
      <c r="F5" s="51" t="s">
        <v>69</v>
      </c>
      <c r="G5" s="53">
        <v>46101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162" t="s">
        <v>70</v>
      </c>
      <c r="B6" s="138"/>
      <c r="C6" s="176" t="s">
        <v>98</v>
      </c>
      <c r="D6" s="177"/>
      <c r="E6" s="178"/>
      <c r="F6" s="51" t="s">
        <v>71</v>
      </c>
      <c r="G6" s="54">
        <v>46102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162" t="s">
        <v>15</v>
      </c>
      <c r="B7" s="138"/>
      <c r="C7" s="179" t="s">
        <v>99</v>
      </c>
      <c r="D7" s="180"/>
      <c r="E7" s="181"/>
      <c r="F7" s="55" t="s">
        <v>72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>
      <c r="A8" s="163" t="s">
        <v>73</v>
      </c>
      <c r="B8" s="138"/>
      <c r="C8" s="182" t="s">
        <v>100</v>
      </c>
      <c r="D8" s="88"/>
      <c r="E8" s="88"/>
      <c r="F8" s="88"/>
      <c r="G8" s="138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22.5" customHeight="1">
      <c r="A9" s="57" t="s">
        <v>34</v>
      </c>
      <c r="B9" s="58" t="s">
        <v>93</v>
      </c>
      <c r="C9" s="58" t="s">
        <v>96</v>
      </c>
      <c r="D9" s="58" t="s">
        <v>74</v>
      </c>
      <c r="E9" s="58" t="s">
        <v>75</v>
      </c>
      <c r="F9" s="58" t="s">
        <v>76</v>
      </c>
      <c r="G9" s="58" t="s">
        <v>77</v>
      </c>
      <c r="H9" s="58" t="s">
        <v>78</v>
      </c>
      <c r="I9" s="58" t="s">
        <v>94</v>
      </c>
      <c r="J9" s="58" t="s">
        <v>79</v>
      </c>
      <c r="K9" s="58" t="s">
        <v>95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185" t="s">
        <v>101</v>
      </c>
      <c r="C10" s="186" t="s">
        <v>92</v>
      </c>
      <c r="D10" s="185">
        <v>1145225853</v>
      </c>
      <c r="E10" s="187"/>
      <c r="F10" s="187" t="s">
        <v>102</v>
      </c>
      <c r="G10" s="185">
        <v>3122987449</v>
      </c>
      <c r="H10" s="185" t="s">
        <v>103</v>
      </c>
      <c r="I10" s="187" t="s">
        <v>104</v>
      </c>
      <c r="J10" s="185">
        <v>3214591164</v>
      </c>
      <c r="K10" s="187" t="s">
        <v>105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5" si="0">A10+1</f>
        <v>2</v>
      </c>
      <c r="B11" s="188" t="s">
        <v>106</v>
      </c>
      <c r="C11" s="189" t="s">
        <v>92</v>
      </c>
      <c r="D11" s="188">
        <v>1145225854</v>
      </c>
      <c r="E11" s="190"/>
      <c r="F11" s="190" t="s">
        <v>107</v>
      </c>
      <c r="G11" s="188">
        <v>3214127416</v>
      </c>
      <c r="H11" s="188" t="s">
        <v>103</v>
      </c>
      <c r="I11" s="190" t="s">
        <v>104</v>
      </c>
      <c r="J11" s="188">
        <v>3214591164</v>
      </c>
      <c r="K11" s="190" t="s">
        <v>108</v>
      </c>
      <c r="L11" s="48"/>
      <c r="M11" s="48" t="s">
        <v>286</v>
      </c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185" t="s">
        <v>109</v>
      </c>
      <c r="C12" s="186" t="s">
        <v>92</v>
      </c>
      <c r="D12" s="185">
        <v>1019068647</v>
      </c>
      <c r="E12" s="187"/>
      <c r="F12" s="187" t="s">
        <v>110</v>
      </c>
      <c r="G12" s="185">
        <v>3118627706</v>
      </c>
      <c r="H12" s="185" t="s">
        <v>111</v>
      </c>
      <c r="I12" s="187" t="s">
        <v>112</v>
      </c>
      <c r="J12" s="185">
        <v>3244956518</v>
      </c>
      <c r="K12" s="187" t="s">
        <v>113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188" t="s">
        <v>114</v>
      </c>
      <c r="C13" s="189" t="s">
        <v>92</v>
      </c>
      <c r="D13" s="188">
        <v>1015437646</v>
      </c>
      <c r="E13" s="190"/>
      <c r="F13" s="190" t="s">
        <v>115</v>
      </c>
      <c r="G13" s="188">
        <v>3219658075</v>
      </c>
      <c r="H13" s="188" t="s">
        <v>116</v>
      </c>
      <c r="I13" s="190" t="s">
        <v>117</v>
      </c>
      <c r="J13" s="188">
        <v>3112776462</v>
      </c>
      <c r="K13" s="190" t="s">
        <v>118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7">
        <f t="shared" si="0"/>
        <v>5</v>
      </c>
      <c r="B14" s="185" t="s">
        <v>119</v>
      </c>
      <c r="C14" s="186" t="s">
        <v>92</v>
      </c>
      <c r="D14" s="185">
        <v>1141123667</v>
      </c>
      <c r="E14" s="187"/>
      <c r="F14" s="187" t="s">
        <v>120</v>
      </c>
      <c r="G14" s="185">
        <v>3134883535</v>
      </c>
      <c r="H14" s="185" t="s">
        <v>121</v>
      </c>
      <c r="I14" s="187" t="s">
        <v>122</v>
      </c>
      <c r="J14" s="185">
        <v>3219273385</v>
      </c>
      <c r="K14" s="187" t="s">
        <v>123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22.5" customHeight="1">
      <c r="A15" s="77">
        <f t="shared" si="0"/>
        <v>6</v>
      </c>
      <c r="B15" s="188" t="s">
        <v>124</v>
      </c>
      <c r="C15" s="189" t="s">
        <v>125</v>
      </c>
      <c r="D15" s="188">
        <v>1014206476</v>
      </c>
      <c r="E15" s="190"/>
      <c r="F15" s="190" t="s">
        <v>126</v>
      </c>
      <c r="G15" s="188">
        <v>3012776831</v>
      </c>
      <c r="H15" s="188" t="s">
        <v>127</v>
      </c>
      <c r="I15" s="190" t="s">
        <v>128</v>
      </c>
      <c r="J15" s="188">
        <v>3012699148</v>
      </c>
      <c r="K15" s="190" t="s">
        <v>129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77">
        <f t="shared" si="0"/>
        <v>7</v>
      </c>
      <c r="B16" s="185" t="s">
        <v>130</v>
      </c>
      <c r="C16" s="186" t="s">
        <v>92</v>
      </c>
      <c r="D16" s="185">
        <v>1141120978</v>
      </c>
      <c r="E16" s="187"/>
      <c r="F16" s="187" t="s">
        <v>131</v>
      </c>
      <c r="G16" s="185">
        <v>3193860120</v>
      </c>
      <c r="H16" s="185" t="s">
        <v>132</v>
      </c>
      <c r="I16" s="187" t="s">
        <v>133</v>
      </c>
      <c r="J16" s="185">
        <v>3138165624</v>
      </c>
      <c r="K16" s="187" t="s">
        <v>134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188" t="s">
        <v>135</v>
      </c>
      <c r="C17" s="189" t="s">
        <v>92</v>
      </c>
      <c r="D17" s="188">
        <v>1028493847</v>
      </c>
      <c r="E17" s="190"/>
      <c r="F17" s="190" t="s">
        <v>136</v>
      </c>
      <c r="G17" s="188">
        <v>3143693010</v>
      </c>
      <c r="H17" s="188" t="s">
        <v>137</v>
      </c>
      <c r="I17" s="190" t="s">
        <v>138</v>
      </c>
      <c r="J17" s="188">
        <v>3102683294</v>
      </c>
      <c r="K17" s="190" t="s">
        <v>139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185" t="s">
        <v>140</v>
      </c>
      <c r="C18" s="186" t="s">
        <v>92</v>
      </c>
      <c r="D18" s="185">
        <v>1031825573</v>
      </c>
      <c r="E18" s="187"/>
      <c r="F18" s="187" t="s">
        <v>141</v>
      </c>
      <c r="G18" s="185">
        <v>3228981740</v>
      </c>
      <c r="H18" s="185" t="s">
        <v>142</v>
      </c>
      <c r="I18" s="187" t="s">
        <v>141</v>
      </c>
      <c r="J18" s="185">
        <v>3227484121</v>
      </c>
      <c r="K18" s="187" t="s">
        <v>143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188" t="s">
        <v>144</v>
      </c>
      <c r="C19" s="189" t="s">
        <v>92</v>
      </c>
      <c r="D19" s="188">
        <v>1145927122</v>
      </c>
      <c r="E19" s="190"/>
      <c r="F19" s="190" t="s">
        <v>145</v>
      </c>
      <c r="G19" s="188">
        <v>3219741619</v>
      </c>
      <c r="H19" s="188" t="s">
        <v>146</v>
      </c>
      <c r="I19" s="190" t="s">
        <v>147</v>
      </c>
      <c r="J19" s="188">
        <v>3014904232</v>
      </c>
      <c r="K19" s="190" t="s">
        <v>148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185" t="s">
        <v>149</v>
      </c>
      <c r="C20" s="186" t="s">
        <v>92</v>
      </c>
      <c r="D20" s="185">
        <v>1141123455</v>
      </c>
      <c r="E20" s="187"/>
      <c r="F20" s="187" t="s">
        <v>150</v>
      </c>
      <c r="G20" s="185">
        <v>3212390849</v>
      </c>
      <c r="H20" s="185" t="s">
        <v>151</v>
      </c>
      <c r="I20" s="187" t="s">
        <v>152</v>
      </c>
      <c r="J20" s="185">
        <v>3142678128</v>
      </c>
      <c r="K20" s="187" t="s">
        <v>153</v>
      </c>
      <c r="L20" s="48"/>
      <c r="M20" s="48" t="s">
        <v>289</v>
      </c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188" t="s">
        <v>154</v>
      </c>
      <c r="C21" s="189" t="s">
        <v>92</v>
      </c>
      <c r="D21" s="188">
        <v>1072990502</v>
      </c>
      <c r="E21" s="190"/>
      <c r="F21" s="190" t="s">
        <v>155</v>
      </c>
      <c r="G21" s="188">
        <v>3204845703</v>
      </c>
      <c r="H21" s="188" t="s">
        <v>156</v>
      </c>
      <c r="I21" s="190" t="s">
        <v>157</v>
      </c>
      <c r="J21" s="188">
        <v>3108793726</v>
      </c>
      <c r="K21" s="190" t="s">
        <v>158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185" t="s">
        <v>159</v>
      </c>
      <c r="C22" s="186" t="s">
        <v>92</v>
      </c>
      <c r="D22" s="185">
        <v>1141121806</v>
      </c>
      <c r="E22" s="187"/>
      <c r="F22" s="187" t="s">
        <v>160</v>
      </c>
      <c r="G22" s="185">
        <v>3204935064</v>
      </c>
      <c r="H22" s="185" t="s">
        <v>161</v>
      </c>
      <c r="I22" s="187" t="s">
        <v>162</v>
      </c>
      <c r="J22" s="185">
        <v>3115093949</v>
      </c>
      <c r="K22" s="187" t="s">
        <v>163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188" t="s">
        <v>164</v>
      </c>
      <c r="C23" s="189" t="s">
        <v>92</v>
      </c>
      <c r="D23" s="188">
        <v>1141121807</v>
      </c>
      <c r="E23" s="190"/>
      <c r="F23" s="190" t="s">
        <v>165</v>
      </c>
      <c r="G23" s="188">
        <v>3219922810</v>
      </c>
      <c r="H23" s="188" t="s">
        <v>166</v>
      </c>
      <c r="I23" s="190" t="s">
        <v>167</v>
      </c>
      <c r="J23" s="188">
        <v>3115093949</v>
      </c>
      <c r="K23" s="190" t="s">
        <v>168</v>
      </c>
      <c r="L23" s="48"/>
      <c r="M23" s="48"/>
      <c r="N23" s="48"/>
      <c r="O23" s="48"/>
      <c r="P23" s="48"/>
      <c r="Q23" s="48" t="s">
        <v>288</v>
      </c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185" t="s">
        <v>169</v>
      </c>
      <c r="C24" s="186" t="s">
        <v>92</v>
      </c>
      <c r="D24" s="185">
        <v>1016043063</v>
      </c>
      <c r="E24" s="187"/>
      <c r="F24" s="187" t="s">
        <v>170</v>
      </c>
      <c r="G24" s="185">
        <v>3159789153</v>
      </c>
      <c r="H24" s="185" t="s">
        <v>171</v>
      </c>
      <c r="I24" s="187" t="s">
        <v>170</v>
      </c>
      <c r="J24" s="185">
        <v>3171211281</v>
      </c>
      <c r="K24" s="187" t="s">
        <v>172</v>
      </c>
      <c r="L24" s="48"/>
      <c r="M24" s="48" t="s">
        <v>287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188" t="s">
        <v>173</v>
      </c>
      <c r="C25" s="189" t="s">
        <v>92</v>
      </c>
      <c r="D25" s="188">
        <v>1016033641</v>
      </c>
      <c r="E25" s="190"/>
      <c r="F25" s="190" t="s">
        <v>174</v>
      </c>
      <c r="G25" s="188">
        <v>3223692079</v>
      </c>
      <c r="H25" s="188" t="s">
        <v>175</v>
      </c>
      <c r="I25" s="190" t="s">
        <v>176</v>
      </c>
      <c r="J25" s="188">
        <v>3134082226</v>
      </c>
      <c r="K25" s="190" t="s">
        <v>177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185" t="s">
        <v>178</v>
      </c>
      <c r="C26" s="186" t="s">
        <v>92</v>
      </c>
      <c r="D26" s="185">
        <v>1028888399</v>
      </c>
      <c r="E26" s="187"/>
      <c r="F26" s="187" t="s">
        <v>179</v>
      </c>
      <c r="G26" s="185">
        <v>3228100232</v>
      </c>
      <c r="H26" s="185" t="s">
        <v>180</v>
      </c>
      <c r="I26" s="187" t="s">
        <v>181</v>
      </c>
      <c r="J26" s="185">
        <v>3169263822</v>
      </c>
      <c r="K26" s="187" t="s">
        <v>182</v>
      </c>
      <c r="L26" s="48"/>
      <c r="M26" s="48" t="s">
        <v>286</v>
      </c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188" t="s">
        <v>183</v>
      </c>
      <c r="C27" s="189" t="s">
        <v>92</v>
      </c>
      <c r="D27" s="188">
        <v>1016956103</v>
      </c>
      <c r="E27" s="190"/>
      <c r="F27" s="190" t="s">
        <v>184</v>
      </c>
      <c r="G27" s="188">
        <v>3204962979</v>
      </c>
      <c r="H27" s="188" t="s">
        <v>185</v>
      </c>
      <c r="I27" s="190" t="s">
        <v>186</v>
      </c>
      <c r="J27" s="188">
        <v>3144845401</v>
      </c>
      <c r="K27" s="190" t="s">
        <v>187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185" t="s">
        <v>188</v>
      </c>
      <c r="C28" s="186" t="s">
        <v>92</v>
      </c>
      <c r="D28" s="185">
        <v>1141125073</v>
      </c>
      <c r="E28" s="187"/>
      <c r="F28" s="187" t="s">
        <v>189</v>
      </c>
      <c r="G28" s="185">
        <v>3246343302</v>
      </c>
      <c r="H28" s="185" t="s">
        <v>190</v>
      </c>
      <c r="I28" s="187" t="s">
        <v>191</v>
      </c>
      <c r="J28" s="185">
        <v>3123932302</v>
      </c>
      <c r="K28" s="187" t="s">
        <v>192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188" t="s">
        <v>193</v>
      </c>
      <c r="C29" s="189" t="s">
        <v>92</v>
      </c>
      <c r="D29" s="188">
        <v>1028944741</v>
      </c>
      <c r="E29" s="190"/>
      <c r="F29" s="190" t="s">
        <v>194</v>
      </c>
      <c r="G29" s="188">
        <v>3249400317</v>
      </c>
      <c r="H29" s="188" t="s">
        <v>195</v>
      </c>
      <c r="I29" s="190" t="s">
        <v>196</v>
      </c>
      <c r="J29" s="188">
        <v>3229630361</v>
      </c>
      <c r="K29" s="190" t="s">
        <v>197</v>
      </c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185" t="s">
        <v>198</v>
      </c>
      <c r="C30" s="186" t="s">
        <v>92</v>
      </c>
      <c r="D30" s="185">
        <v>1016955950</v>
      </c>
      <c r="E30" s="187"/>
      <c r="F30" s="187" t="s">
        <v>199</v>
      </c>
      <c r="G30" s="185">
        <v>3124387321</v>
      </c>
      <c r="H30" s="185" t="s">
        <v>200</v>
      </c>
      <c r="I30" s="187" t="s">
        <v>201</v>
      </c>
      <c r="J30" s="185">
        <v>3107937846</v>
      </c>
      <c r="K30" s="187" t="s">
        <v>202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188" t="s">
        <v>203</v>
      </c>
      <c r="C31" s="189" t="s">
        <v>92</v>
      </c>
      <c r="D31" s="188">
        <v>1013648077</v>
      </c>
      <c r="E31" s="190"/>
      <c r="F31" s="190" t="s">
        <v>204</v>
      </c>
      <c r="G31" s="188">
        <v>3052031244</v>
      </c>
      <c r="H31" s="188" t="s">
        <v>205</v>
      </c>
      <c r="I31" s="190" t="s">
        <v>206</v>
      </c>
      <c r="J31" s="188">
        <v>3144924776</v>
      </c>
      <c r="K31" s="190" t="s">
        <v>207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185" t="s">
        <v>208</v>
      </c>
      <c r="C32" s="186" t="s">
        <v>92</v>
      </c>
      <c r="D32" s="185">
        <v>1070393748</v>
      </c>
      <c r="E32" s="187"/>
      <c r="F32" s="187" t="s">
        <v>209</v>
      </c>
      <c r="G32" s="185">
        <v>3226834395</v>
      </c>
      <c r="H32" s="185" t="s">
        <v>210</v>
      </c>
      <c r="I32" s="187" t="s">
        <v>211</v>
      </c>
      <c r="J32" s="185">
        <v>3153966851</v>
      </c>
      <c r="K32" s="187" t="s">
        <v>212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188" t="s">
        <v>213</v>
      </c>
      <c r="C33" s="189" t="s">
        <v>125</v>
      </c>
      <c r="D33" s="188">
        <v>1016953617</v>
      </c>
      <c r="E33" s="190"/>
      <c r="F33" s="190" t="s">
        <v>214</v>
      </c>
      <c r="G33" s="188">
        <v>3215875958</v>
      </c>
      <c r="H33" s="188" t="s">
        <v>215</v>
      </c>
      <c r="I33" s="190" t="s">
        <v>216</v>
      </c>
      <c r="J33" s="188">
        <v>3117650209</v>
      </c>
      <c r="K33" s="190" t="s">
        <v>217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185" t="s">
        <v>218</v>
      </c>
      <c r="C34" s="186" t="s">
        <v>92</v>
      </c>
      <c r="D34" s="185">
        <v>1030580520</v>
      </c>
      <c r="E34" s="187"/>
      <c r="F34" s="187" t="s">
        <v>219</v>
      </c>
      <c r="G34" s="185">
        <v>3112167570</v>
      </c>
      <c r="H34" s="185" t="s">
        <v>220</v>
      </c>
      <c r="I34" s="187" t="s">
        <v>221</v>
      </c>
      <c r="J34" s="185">
        <v>3104862895</v>
      </c>
      <c r="K34" s="187" t="s">
        <v>222</v>
      </c>
      <c r="L34" s="48"/>
      <c r="M34" s="48" t="s">
        <v>286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188" t="s">
        <v>223</v>
      </c>
      <c r="C35" s="189" t="s">
        <v>92</v>
      </c>
      <c r="D35" s="188">
        <v>1014877985</v>
      </c>
      <c r="E35" s="190"/>
      <c r="F35" s="190" t="s">
        <v>224</v>
      </c>
      <c r="G35" s="188">
        <v>3223439173</v>
      </c>
      <c r="H35" s="188" t="s">
        <v>225</v>
      </c>
      <c r="I35" s="190"/>
      <c r="J35" s="188">
        <v>3142202285</v>
      </c>
      <c r="K35" s="190" t="s">
        <v>226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185" t="s">
        <v>227</v>
      </c>
      <c r="C36" s="186" t="s">
        <v>92</v>
      </c>
      <c r="D36" s="185">
        <v>1141718299</v>
      </c>
      <c r="E36" s="187"/>
      <c r="F36" s="187" t="s">
        <v>228</v>
      </c>
      <c r="G36" s="185">
        <v>3505962031</v>
      </c>
      <c r="H36" s="185" t="s">
        <v>229</v>
      </c>
      <c r="I36" s="187" t="s">
        <v>230</v>
      </c>
      <c r="J36" s="185">
        <v>3118784119</v>
      </c>
      <c r="K36" s="187" t="s">
        <v>231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188" t="s">
        <v>232</v>
      </c>
      <c r="C37" s="189" t="s">
        <v>125</v>
      </c>
      <c r="D37" s="188">
        <v>1016950671</v>
      </c>
      <c r="E37" s="190"/>
      <c r="F37" s="190" t="s">
        <v>233</v>
      </c>
      <c r="G37" s="188">
        <v>3012119395</v>
      </c>
      <c r="H37" s="188" t="s">
        <v>234</v>
      </c>
      <c r="I37" s="190" t="s">
        <v>235</v>
      </c>
      <c r="J37" s="188">
        <v>3144034180</v>
      </c>
      <c r="K37" s="190" t="s">
        <v>236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185" t="s">
        <v>237</v>
      </c>
      <c r="C38" s="186" t="s">
        <v>92</v>
      </c>
      <c r="D38" s="185">
        <v>1025147204</v>
      </c>
      <c r="E38" s="187"/>
      <c r="F38" s="187" t="s">
        <v>238</v>
      </c>
      <c r="G38" s="185">
        <v>3134549827</v>
      </c>
      <c r="H38" s="185" t="s">
        <v>239</v>
      </c>
      <c r="I38" s="187" t="s">
        <v>240</v>
      </c>
      <c r="J38" s="185">
        <v>3214467031</v>
      </c>
      <c r="K38" s="187" t="s">
        <v>241</v>
      </c>
      <c r="L38" s="48"/>
      <c r="M38" s="48" t="s">
        <v>285</v>
      </c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188" t="s">
        <v>242</v>
      </c>
      <c r="C39" s="189" t="s">
        <v>92</v>
      </c>
      <c r="D39" s="188">
        <v>1014236875</v>
      </c>
      <c r="E39" s="190"/>
      <c r="F39" s="190" t="s">
        <v>243</v>
      </c>
      <c r="G39" s="188">
        <v>3118236873</v>
      </c>
      <c r="H39" s="188" t="s">
        <v>244</v>
      </c>
      <c r="I39" s="190" t="s">
        <v>243</v>
      </c>
      <c r="J39" s="188">
        <v>3115512588</v>
      </c>
      <c r="K39" s="190" t="s">
        <v>245</v>
      </c>
      <c r="L39" s="48"/>
      <c r="M39" s="48" t="s">
        <v>284</v>
      </c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185" t="s">
        <v>246</v>
      </c>
      <c r="C40" s="186" t="s">
        <v>92</v>
      </c>
      <c r="D40" s="185">
        <v>1141122555</v>
      </c>
      <c r="E40" s="187"/>
      <c r="F40" s="187" t="s">
        <v>247</v>
      </c>
      <c r="G40" s="185">
        <v>3202525512</v>
      </c>
      <c r="H40" s="185" t="s">
        <v>248</v>
      </c>
      <c r="I40" s="187" t="s">
        <v>249</v>
      </c>
      <c r="J40" s="185">
        <v>3134800188</v>
      </c>
      <c r="K40" s="187" t="s">
        <v>250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188" t="s">
        <v>251</v>
      </c>
      <c r="C41" s="189" t="s">
        <v>92</v>
      </c>
      <c r="D41" s="188">
        <v>1019766073</v>
      </c>
      <c r="E41" s="190"/>
      <c r="F41" s="190" t="s">
        <v>252</v>
      </c>
      <c r="G41" s="188">
        <v>3005099320</v>
      </c>
      <c r="H41" s="188" t="s">
        <v>253</v>
      </c>
      <c r="I41" s="190" t="s">
        <v>254</v>
      </c>
      <c r="J41" s="188">
        <v>3108173065</v>
      </c>
      <c r="K41" s="190" t="s">
        <v>255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15.75" customHeight="1">
      <c r="A42" s="77">
        <f t="shared" si="0"/>
        <v>33</v>
      </c>
      <c r="B42" s="185" t="s">
        <v>256</v>
      </c>
      <c r="C42" s="186" t="s">
        <v>92</v>
      </c>
      <c r="D42" s="185">
        <v>1014238500</v>
      </c>
      <c r="E42" s="187"/>
      <c r="F42" s="187" t="s">
        <v>257</v>
      </c>
      <c r="G42" s="185">
        <v>3213759951</v>
      </c>
      <c r="H42" s="185" t="s">
        <v>258</v>
      </c>
      <c r="I42" s="187" t="s">
        <v>259</v>
      </c>
      <c r="J42" s="185">
        <v>3113378282</v>
      </c>
      <c r="K42" s="187" t="s">
        <v>260</v>
      </c>
      <c r="L42" s="48"/>
      <c r="M42" s="48" t="s">
        <v>283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8">
        <f t="shared" si="0"/>
        <v>34</v>
      </c>
      <c r="B43" s="188" t="s">
        <v>261</v>
      </c>
      <c r="C43" s="189" t="s">
        <v>92</v>
      </c>
      <c r="D43" s="188">
        <v>1146126178</v>
      </c>
      <c r="E43" s="190"/>
      <c r="F43" s="190" t="s">
        <v>262</v>
      </c>
      <c r="G43" s="188">
        <v>3187175748</v>
      </c>
      <c r="H43" s="188" t="s">
        <v>263</v>
      </c>
      <c r="I43" s="190" t="s">
        <v>264</v>
      </c>
      <c r="J43" s="188">
        <v>3205935369</v>
      </c>
      <c r="K43" s="190" t="s">
        <v>265</v>
      </c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183">
        <f t="shared" si="0"/>
        <v>35</v>
      </c>
      <c r="B44" s="185" t="s">
        <v>266</v>
      </c>
      <c r="C44" s="186" t="s">
        <v>92</v>
      </c>
      <c r="D44" s="185">
        <v>1052842832</v>
      </c>
      <c r="E44" s="187"/>
      <c r="F44" s="187" t="s">
        <v>267</v>
      </c>
      <c r="G44" s="185">
        <v>3143774905</v>
      </c>
      <c r="H44" s="185" t="s">
        <v>268</v>
      </c>
      <c r="I44" s="187" t="s">
        <v>269</v>
      </c>
      <c r="J44" s="185">
        <v>3223845320</v>
      </c>
      <c r="K44" s="187" t="s">
        <v>270</v>
      </c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 spans="1:26" ht="15.75" customHeight="1">
      <c r="A45" s="183">
        <f t="shared" si="0"/>
        <v>36</v>
      </c>
      <c r="B45" s="188" t="s">
        <v>271</v>
      </c>
      <c r="C45" s="189"/>
      <c r="D45" s="188">
        <v>1141123709</v>
      </c>
      <c r="E45" s="190"/>
      <c r="F45" s="190"/>
      <c r="G45" s="188"/>
      <c r="H45" s="188"/>
      <c r="I45" s="190"/>
      <c r="J45" s="188"/>
      <c r="K45" s="190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184">
        <v>37</v>
      </c>
      <c r="B46" s="185" t="s">
        <v>272</v>
      </c>
      <c r="C46" s="186" t="s">
        <v>92</v>
      </c>
      <c r="D46" s="185">
        <v>1141123427</v>
      </c>
      <c r="E46" s="187"/>
      <c r="F46" s="187" t="s">
        <v>273</v>
      </c>
      <c r="G46" s="185">
        <v>3009750929</v>
      </c>
      <c r="H46" s="185" t="s">
        <v>274</v>
      </c>
      <c r="I46" s="187" t="s">
        <v>275</v>
      </c>
      <c r="J46" s="185">
        <v>3124715955</v>
      </c>
      <c r="K46" s="187" t="s">
        <v>276</v>
      </c>
      <c r="L46" s="61"/>
      <c r="M46" s="61" t="s">
        <v>282</v>
      </c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ht="15.75" customHeight="1">
      <c r="A47" s="184">
        <v>38</v>
      </c>
      <c r="B47" s="188" t="s">
        <v>277</v>
      </c>
      <c r="C47" s="189" t="s">
        <v>92</v>
      </c>
      <c r="D47" s="188">
        <v>1145225610</v>
      </c>
      <c r="E47" s="190"/>
      <c r="F47" s="190" t="s">
        <v>278</v>
      </c>
      <c r="G47" s="188">
        <v>3239062253</v>
      </c>
      <c r="H47" s="188" t="s">
        <v>279</v>
      </c>
      <c r="I47" s="190" t="s">
        <v>280</v>
      </c>
      <c r="J47" s="188">
        <v>3104848424</v>
      </c>
      <c r="K47" s="190" t="s">
        <v>281</v>
      </c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0">
        <v>39</v>
      </c>
      <c r="B48" s="79"/>
      <c r="C48" s="81"/>
      <c r="D48" s="79"/>
      <c r="E48" s="79"/>
      <c r="F48" s="79"/>
      <c r="G48" s="79"/>
      <c r="H48" s="79"/>
      <c r="I48" s="79"/>
      <c r="J48" s="79"/>
      <c r="K48" s="79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0">
        <v>40</v>
      </c>
      <c r="B49" s="79"/>
      <c r="C49" s="81"/>
      <c r="D49" s="79"/>
      <c r="E49" s="79"/>
      <c r="F49" s="79"/>
      <c r="G49" s="79"/>
      <c r="H49" s="79"/>
      <c r="I49" s="79"/>
      <c r="J49" s="79"/>
      <c r="K49" s="79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0">
        <v>41</v>
      </c>
      <c r="B50" s="79"/>
      <c r="C50" s="81"/>
      <c r="D50" s="79"/>
      <c r="E50" s="79"/>
      <c r="F50" s="79" t="s">
        <v>80</v>
      </c>
      <c r="G50" s="79"/>
      <c r="H50" s="79"/>
      <c r="I50" s="79"/>
      <c r="J50" s="79"/>
      <c r="K50" s="79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80">
        <v>42</v>
      </c>
      <c r="B51" s="79"/>
      <c r="C51" s="81"/>
      <c r="D51" s="79"/>
      <c r="E51" s="79"/>
      <c r="F51" s="79"/>
      <c r="G51" s="79"/>
      <c r="H51" s="79"/>
      <c r="I51" s="79"/>
      <c r="J51" s="79"/>
      <c r="K51" s="79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.75" customHeight="1">
      <c r="A999" s="60"/>
      <c r="C999" s="47"/>
    </row>
    <row r="1000" spans="1:3" ht="15.75" customHeight="1">
      <c r="A1000" s="60"/>
      <c r="C1000" s="47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8:B1000">
    <cfRule type="expression" dxfId="13" priority="1">
      <formula>OR($P48=#REF!,#REF!=#REF!,#REF!=#REF!)</formula>
    </cfRule>
  </conditionalFormatting>
  <conditionalFormatting sqref="B48:B1000">
    <cfRule type="expression" dxfId="12" priority="2">
      <formula>OR(#REF!=#REF!,#REF!=#REF!,#REF!=#REF!)</formula>
    </cfRule>
  </conditionalFormatting>
  <conditionalFormatting sqref="B48:B1000">
    <cfRule type="expression" dxfId="11" priority="3">
      <formula>OR(#REF!=#REF!,#REF!=#REF!,#REF!=#REF!)</formula>
    </cfRule>
  </conditionalFormatting>
  <conditionalFormatting sqref="B48:B1000">
    <cfRule type="expression" dxfId="10" priority="4">
      <formula>OR(#REF!=#REF!,#REF!=#REF!,#REF!=#REF!)</formula>
    </cfRule>
  </conditionalFormatting>
  <conditionalFormatting sqref="B48:B1000">
    <cfRule type="expression" dxfId="9" priority="5">
      <formula>OR(#REF!=#REF!,#REF!=#REF!,#REF!=#REF!)</formula>
    </cfRule>
  </conditionalFormatting>
  <conditionalFormatting sqref="B48:B1000">
    <cfRule type="expression" dxfId="8" priority="6">
      <formula>OR($R48=#REF!,#REF!=#REF!,#REF!=#REF!)</formula>
    </cfRule>
  </conditionalFormatting>
  <conditionalFormatting sqref="B48:B1000">
    <cfRule type="expression" dxfId="7" priority="7">
      <formula>OR(#REF!=#REF!,#REF!=#REF!,#REF!=#REF!)</formula>
    </cfRule>
  </conditionalFormatting>
  <conditionalFormatting sqref="B48:B1000">
    <cfRule type="expression" dxfId="6" priority="8">
      <formula>OR($P48=#REF!,#REF!=#REF!,#REF!=#REF!)</formula>
    </cfRule>
  </conditionalFormatting>
  <conditionalFormatting sqref="B48:B1000">
    <cfRule type="expression" dxfId="5" priority="9">
      <formula>OR(#REF!=#REF!,#REF!=#REF!,#REF!=#REF!)</formula>
    </cfRule>
  </conditionalFormatting>
  <conditionalFormatting sqref="B48:B1000">
    <cfRule type="expression" dxfId="4" priority="10">
      <formula>OR(#REF!=#REF!,#REF!=#REF!,#REF!=#REF!)</formula>
    </cfRule>
  </conditionalFormatting>
  <conditionalFormatting sqref="B48:B1000">
    <cfRule type="expression" dxfId="3" priority="11">
      <formula>OR(#REF!=#REF!,#REF!=#REF!,#REF!=#REF!)</formula>
    </cfRule>
  </conditionalFormatting>
  <conditionalFormatting sqref="B48:B1000">
    <cfRule type="expression" dxfId="2" priority="12">
      <formula>OR(#REF!=#REF!,#REF!=#REF!,#REF!=#REF!)</formula>
    </cfRule>
  </conditionalFormatting>
  <conditionalFormatting sqref="B48:B1000">
    <cfRule type="expression" dxfId="1" priority="13">
      <formula>OR($P48=#REF!,#REF!=#REF!,#REF!=#REF!)</formula>
    </cfRule>
  </conditionalFormatting>
  <conditionalFormatting sqref="B48:B1000">
    <cfRule type="expression" dxfId="0" priority="14">
      <formula>OR(#REF!=#REF!,#REF!=#REF!,#REF!=#REF!)</formula>
    </cfRule>
  </conditionalFormatting>
  <hyperlinks>
    <hyperlink ref="C6" r:id="rId1" display="mailto:ioviedoc@sena.edu.co" xr:uid="{E55F6430-B8C7-4D9B-BC86-71A7C6503A66}"/>
    <hyperlink ref="C8" r:id="rId2" display="https://sena4-my.sharepoint.com/shared?id=%2Fpersonal%2Fapuentes%5Fsena%5Fedu%5Fco%2FDocuments%2FA%C3%91O%202026%2FSUPERVISION%20CUENTAS%20DE%20COBRO%20ARTICULACION%202026%2FCARLOS%20ALBERTO%20SALCEDO%20DURAN%2FPORTAFOLIO%5FDE%5FEVIDENCIAS%5FCARLOS%5FALBERTO%5FSALCEDO%5FDURAN%2FGRUPO%20%2D%203453742%20%2D%20COLEGIO%20TOMAS%20CIPRIANO&amp;viewid=f99452b8%2D8171%2D424a%2D90f1%2D23fef74632a4" xr:uid="{DD978462-1296-4C57-ABF4-BAF65A8BB758}"/>
  </hyperlinks>
  <pageMargins left="0.7" right="0.7" top="0.75" bottom="0.75" header="0" footer="0"/>
  <pageSetup orientation="landscape"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'!$DY$9:$DY$19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42"/>
  <sheetViews>
    <sheetView topLeftCell="A25" workbookViewId="0">
      <selection activeCell="B38" sqref="B38:D42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169" t="s">
        <v>81</v>
      </c>
      <c r="B1" s="93"/>
      <c r="C1" s="93"/>
      <c r="D1" s="93"/>
      <c r="E1" s="62"/>
      <c r="F1" s="62"/>
    </row>
    <row r="2" spans="1:6" ht="15.75">
      <c r="A2" s="63" t="s">
        <v>82</v>
      </c>
      <c r="B2" s="64" t="s">
        <v>83</v>
      </c>
      <c r="C2" s="64" t="s">
        <v>84</v>
      </c>
      <c r="D2" s="65" t="s">
        <v>85</v>
      </c>
    </row>
    <row r="3" spans="1:6" ht="15.75">
      <c r="A3" s="166" t="s">
        <v>86</v>
      </c>
      <c r="B3" s="66"/>
      <c r="C3" s="66"/>
      <c r="D3" s="67"/>
    </row>
    <row r="4" spans="1:6" ht="15.75">
      <c r="A4" s="167"/>
      <c r="B4" s="66"/>
      <c r="C4" s="66"/>
      <c r="D4" s="67"/>
    </row>
    <row r="5" spans="1:6" ht="15.75">
      <c r="A5" s="167"/>
      <c r="B5" s="66"/>
      <c r="C5" s="66"/>
      <c r="D5" s="67"/>
    </row>
    <row r="6" spans="1:6" ht="15.75">
      <c r="A6" s="167"/>
      <c r="B6" s="66"/>
      <c r="C6" s="66"/>
      <c r="D6" s="67"/>
    </row>
    <row r="7" spans="1:6" ht="15.75">
      <c r="A7" s="168"/>
      <c r="B7" s="68"/>
      <c r="C7" s="68"/>
      <c r="D7" s="69"/>
    </row>
    <row r="8" spans="1:6" ht="15.75">
      <c r="B8" s="70"/>
    </row>
    <row r="9" spans="1:6" ht="15.75">
      <c r="A9" s="63" t="s">
        <v>87</v>
      </c>
      <c r="B9" s="64" t="s">
        <v>83</v>
      </c>
      <c r="C9" s="64" t="s">
        <v>84</v>
      </c>
      <c r="D9" s="65" t="s">
        <v>85</v>
      </c>
    </row>
    <row r="10" spans="1:6" ht="15.75">
      <c r="A10" s="166" t="s">
        <v>86</v>
      </c>
      <c r="B10" s="66"/>
      <c r="C10" s="66"/>
      <c r="D10" s="67"/>
    </row>
    <row r="11" spans="1:6" ht="15.75">
      <c r="A11" s="167"/>
      <c r="B11" s="66"/>
      <c r="C11" s="66"/>
      <c r="D11" s="67"/>
    </row>
    <row r="12" spans="1:6" ht="15.75">
      <c r="A12" s="167"/>
      <c r="B12" s="66"/>
      <c r="C12" s="66"/>
      <c r="D12" s="67"/>
    </row>
    <row r="13" spans="1:6" ht="15.75">
      <c r="A13" s="167"/>
      <c r="B13" s="66"/>
      <c r="C13" s="66"/>
      <c r="D13" s="67"/>
    </row>
    <row r="14" spans="1:6" ht="15.75">
      <c r="A14" s="168"/>
      <c r="B14" s="68"/>
      <c r="C14" s="68"/>
      <c r="D14" s="69"/>
    </row>
    <row r="16" spans="1:6" ht="15.75">
      <c r="A16" s="63" t="s">
        <v>88</v>
      </c>
      <c r="B16" s="64" t="s">
        <v>83</v>
      </c>
      <c r="C16" s="64" t="s">
        <v>84</v>
      </c>
      <c r="D16" s="65" t="s">
        <v>85</v>
      </c>
    </row>
    <row r="17" spans="1:4" ht="15.75">
      <c r="A17" s="166" t="s">
        <v>86</v>
      </c>
      <c r="B17" s="66"/>
      <c r="C17" s="66"/>
      <c r="D17" s="67"/>
    </row>
    <row r="18" spans="1:4" ht="15.75">
      <c r="A18" s="167"/>
      <c r="B18" s="66"/>
      <c r="C18" s="66"/>
      <c r="D18" s="67"/>
    </row>
    <row r="19" spans="1:4" ht="15.75">
      <c r="A19" s="167"/>
      <c r="B19" s="66"/>
      <c r="C19" s="66"/>
      <c r="D19" s="67"/>
    </row>
    <row r="20" spans="1:4" ht="15.75">
      <c r="A20" s="167"/>
      <c r="B20" s="66"/>
      <c r="C20" s="66"/>
      <c r="D20" s="67"/>
    </row>
    <row r="21" spans="1:4" ht="15.75">
      <c r="A21" s="168"/>
      <c r="B21" s="68"/>
      <c r="C21" s="68"/>
      <c r="D21" s="69"/>
    </row>
    <row r="23" spans="1:4" ht="15.75">
      <c r="A23" s="63" t="s">
        <v>89</v>
      </c>
      <c r="B23" s="64" t="s">
        <v>83</v>
      </c>
      <c r="C23" s="64" t="s">
        <v>84</v>
      </c>
      <c r="D23" s="65" t="s">
        <v>85</v>
      </c>
    </row>
    <row r="24" spans="1:4" ht="15.75">
      <c r="A24" s="166" t="s">
        <v>86</v>
      </c>
      <c r="B24" s="66"/>
      <c r="C24" s="66"/>
      <c r="D24" s="67"/>
    </row>
    <row r="25" spans="1:4" ht="15.75">
      <c r="A25" s="167"/>
      <c r="B25" s="66"/>
      <c r="C25" s="66"/>
      <c r="D25" s="67"/>
    </row>
    <row r="26" spans="1:4" ht="15.75">
      <c r="A26" s="167"/>
      <c r="B26" s="66"/>
      <c r="C26" s="66"/>
      <c r="D26" s="67"/>
    </row>
    <row r="27" spans="1:4" ht="15.75">
      <c r="A27" s="167"/>
      <c r="B27" s="66"/>
      <c r="C27" s="66"/>
      <c r="D27" s="67"/>
    </row>
    <row r="28" spans="1:4" ht="15.75">
      <c r="A28" s="168"/>
      <c r="B28" s="68"/>
      <c r="C28" s="68"/>
      <c r="D28" s="69"/>
    </row>
    <row r="30" spans="1:4" ht="15.75">
      <c r="A30" s="63" t="s">
        <v>90</v>
      </c>
      <c r="B30" s="64" t="s">
        <v>83</v>
      </c>
      <c r="C30" s="64" t="s">
        <v>84</v>
      </c>
      <c r="D30" s="65" t="s">
        <v>85</v>
      </c>
    </row>
    <row r="31" spans="1:4" ht="15.75">
      <c r="A31" s="166" t="s">
        <v>86</v>
      </c>
      <c r="B31" s="66"/>
      <c r="C31" s="66"/>
      <c r="D31" s="67"/>
    </row>
    <row r="32" spans="1:4" ht="15.75">
      <c r="A32" s="167"/>
      <c r="B32" s="66"/>
      <c r="C32" s="66"/>
      <c r="D32" s="67"/>
    </row>
    <row r="33" spans="1:4" ht="15.75">
      <c r="A33" s="167"/>
      <c r="B33" s="66"/>
      <c r="C33" s="66"/>
      <c r="D33" s="67"/>
    </row>
    <row r="34" spans="1:4" ht="15.75">
      <c r="A34" s="167"/>
      <c r="B34" s="66"/>
      <c r="C34" s="66"/>
      <c r="D34" s="67"/>
    </row>
    <row r="35" spans="1:4" ht="15.75">
      <c r="A35" s="168"/>
      <c r="B35" s="68"/>
      <c r="C35" s="68"/>
      <c r="D35" s="69"/>
    </row>
    <row r="37" spans="1:4" ht="15.75">
      <c r="A37" s="63" t="s">
        <v>91</v>
      </c>
      <c r="B37" s="64" t="s">
        <v>83</v>
      </c>
      <c r="C37" s="64" t="s">
        <v>84</v>
      </c>
      <c r="D37" s="65" t="s">
        <v>85</v>
      </c>
    </row>
    <row r="38" spans="1:4" ht="15.75">
      <c r="A38" s="166" t="s">
        <v>86</v>
      </c>
      <c r="B38" s="66"/>
      <c r="C38" s="66"/>
      <c r="D38" s="67"/>
    </row>
    <row r="39" spans="1:4" ht="15.75">
      <c r="A39" s="167"/>
      <c r="B39" s="66"/>
      <c r="C39" s="66"/>
      <c r="D39" s="67"/>
    </row>
    <row r="40" spans="1:4" ht="15.75">
      <c r="A40" s="167"/>
      <c r="B40" s="66"/>
      <c r="C40" s="66"/>
      <c r="D40" s="67"/>
    </row>
    <row r="41" spans="1:4" ht="15.75">
      <c r="A41" s="167"/>
      <c r="B41" s="66"/>
      <c r="C41" s="66"/>
      <c r="D41" s="67"/>
    </row>
    <row r="42" spans="1:4" ht="15.75">
      <c r="A42" s="168"/>
      <c r="B42" s="68"/>
      <c r="C42" s="68"/>
      <c r="D42" s="69"/>
    </row>
  </sheetData>
  <mergeCells count="7">
    <mergeCell ref="A31:A35"/>
    <mergeCell ref="A38:A42"/>
    <mergeCell ref="A1:D1"/>
    <mergeCell ref="A3:A7"/>
    <mergeCell ref="A10:A14"/>
    <mergeCell ref="A17:A21"/>
    <mergeCell ref="A24:A28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2026-03-26T14:28:41Z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