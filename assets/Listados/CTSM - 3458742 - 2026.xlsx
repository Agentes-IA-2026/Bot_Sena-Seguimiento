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cuments\Bot_sena_seguimiento\assets\Listados\"/>
    </mc:Choice>
  </mc:AlternateContent>
  <xr:revisionPtr revIDLastSave="0" documentId="13_ncr:1_{7F6DA3C6-B69C-43FC-9B08-A79249FDF0D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SISTENCIA " sheetId="1" r:id="rId1"/>
    <sheet name="BASE DE DATOS" sheetId="2" r:id="rId2"/>
    <sheet name="GRUPOS DE PROYECTO" sheetId="3" r:id="rId3"/>
  </sheets>
  <definedNames>
    <definedName name="_xlnm._FilterDatabase" localSheetId="0" hidden="1">'ASISTENCIA '!$A$8:$DW$51</definedName>
    <definedName name="AñoCalendario">#REF!</definedName>
    <definedName name="asd">#REF!</definedName>
    <definedName name="DIAS">'ASISTENCIA '!$C$58:$D$63</definedName>
    <definedName name="Excel_BuiltIn__FilterDatabase_6">#REF!</definedName>
    <definedName name="Feriados">'ASISTENCIA '!#REF!</definedName>
    <definedName name="InicioDeSemana">#REF!</definedName>
    <definedName name="TítuloDeColumnaRegión1..I12.1">#REF!</definedName>
    <definedName name="TítuloDeColumnaRegión1..I12.2">#REF!</definedName>
    <definedName name="TítuloDeColumnaRegión2..D14.1">#REF!</definedName>
    <definedName name="TítuloDeColumnaRegión2..D14.2">#REF!</definedName>
    <definedName name="TítuloDeFilaRegión1..F13.2">#REF!</definedName>
    <definedName name="TítuloDeFilaRegión1..L3.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Hv8LWoqK7trRcj9d4KOYBamLJVcxmFyTkWKRUchHDdc="/>
    </ext>
  </extLst>
</workbook>
</file>

<file path=xl/calcChain.xml><?xml version="1.0" encoding="utf-8"?>
<calcChain xmlns="http://schemas.openxmlformats.org/spreadsheetml/2006/main">
  <c r="G38" i="1" l="1"/>
  <c r="H38" i="1"/>
  <c r="I38" i="1"/>
  <c r="J38" i="1"/>
  <c r="K38" i="1"/>
  <c r="L38" i="1"/>
  <c r="M38" i="1"/>
  <c r="N38" i="1"/>
  <c r="G39" i="1"/>
  <c r="H39" i="1"/>
  <c r="I39" i="1"/>
  <c r="J39" i="1"/>
  <c r="K39" i="1"/>
  <c r="L39" i="1"/>
  <c r="M39" i="1"/>
  <c r="N39" i="1"/>
  <c r="G40" i="1"/>
  <c r="H40" i="1"/>
  <c r="I40" i="1"/>
  <c r="J40" i="1"/>
  <c r="K40" i="1"/>
  <c r="L40" i="1"/>
  <c r="M40" i="1"/>
  <c r="N40" i="1"/>
  <c r="G41" i="1"/>
  <c r="H41" i="1"/>
  <c r="I41" i="1"/>
  <c r="J41" i="1"/>
  <c r="K41" i="1"/>
  <c r="L41" i="1"/>
  <c r="M41" i="1"/>
  <c r="N41" i="1"/>
  <c r="G42" i="1"/>
  <c r="H42" i="1"/>
  <c r="I42" i="1"/>
  <c r="F42" i="1" s="1"/>
  <c r="J42" i="1"/>
  <c r="K42" i="1"/>
  <c r="L42" i="1"/>
  <c r="M42" i="1"/>
  <c r="N42" i="1"/>
  <c r="G43" i="1"/>
  <c r="H43" i="1"/>
  <c r="I43" i="1"/>
  <c r="F43" i="1" s="1"/>
  <c r="J43" i="1"/>
  <c r="K43" i="1"/>
  <c r="L43" i="1"/>
  <c r="M43" i="1"/>
  <c r="N43" i="1"/>
  <c r="F38" i="1"/>
  <c r="F39" i="1"/>
  <c r="F41" i="1"/>
  <c r="A11" i="1"/>
  <c r="A12" i="1"/>
  <c r="A13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10" i="1"/>
  <c r="B38" i="1"/>
  <c r="C38" i="1"/>
  <c r="D38" i="1"/>
  <c r="B39" i="1"/>
  <c r="C39" i="1"/>
  <c r="D39" i="1"/>
  <c r="B40" i="1"/>
  <c r="C40" i="1"/>
  <c r="D40" i="1"/>
  <c r="F40" i="1"/>
  <c r="B41" i="1"/>
  <c r="C41" i="1"/>
  <c r="D41" i="1"/>
  <c r="B42" i="1"/>
  <c r="C42" i="1"/>
  <c r="D42" i="1"/>
  <c r="B43" i="1"/>
  <c r="C43" i="1"/>
  <c r="D43" i="1"/>
  <c r="B9" i="1"/>
  <c r="C9" i="1"/>
  <c r="D9" i="1"/>
  <c r="CY2" i="1"/>
  <c r="G6" i="1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DW51" i="1"/>
  <c r="DV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DW50" i="1"/>
  <c r="DV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N50" i="1"/>
  <c r="DW49" i="1"/>
  <c r="DV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N49" i="1"/>
  <c r="DW48" i="1"/>
  <c r="DV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N48" i="1"/>
  <c r="DW47" i="1"/>
  <c r="DV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N47" i="1"/>
  <c r="DW46" i="1"/>
  <c r="DV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N46" i="1"/>
  <c r="DW45" i="1"/>
  <c r="DV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N45" i="1"/>
  <c r="DW44" i="1"/>
  <c r="DV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N44" i="1"/>
  <c r="DW37" i="1"/>
  <c r="DV37" i="1"/>
  <c r="M37" i="1" s="1"/>
  <c r="N37" i="1"/>
  <c r="L37" i="1"/>
  <c r="K37" i="1"/>
  <c r="J37" i="1"/>
  <c r="I37" i="1"/>
  <c r="F37" i="1" s="1"/>
  <c r="H37" i="1"/>
  <c r="G37" i="1"/>
  <c r="D37" i="1"/>
  <c r="C37" i="1"/>
  <c r="B37" i="1"/>
  <c r="DW36" i="1"/>
  <c r="DV36" i="1"/>
  <c r="N36" i="1"/>
  <c r="L36" i="1"/>
  <c r="K36" i="1"/>
  <c r="J36" i="1"/>
  <c r="I36" i="1"/>
  <c r="F36" i="1" s="1"/>
  <c r="H36" i="1"/>
  <c r="G36" i="1"/>
  <c r="D36" i="1"/>
  <c r="B36" i="1"/>
  <c r="DW35" i="1"/>
  <c r="DV35" i="1"/>
  <c r="M35" i="1" s="1"/>
  <c r="N35" i="1"/>
  <c r="L35" i="1"/>
  <c r="K35" i="1"/>
  <c r="J35" i="1"/>
  <c r="I35" i="1"/>
  <c r="F35" i="1" s="1"/>
  <c r="H35" i="1"/>
  <c r="G35" i="1"/>
  <c r="D35" i="1"/>
  <c r="C35" i="1"/>
  <c r="B35" i="1"/>
  <c r="DW34" i="1"/>
  <c r="DV34" i="1"/>
  <c r="N34" i="1"/>
  <c r="L34" i="1"/>
  <c r="K34" i="1"/>
  <c r="J34" i="1"/>
  <c r="I34" i="1"/>
  <c r="F34" i="1" s="1"/>
  <c r="H34" i="1"/>
  <c r="G34" i="1"/>
  <c r="D34" i="1"/>
  <c r="C34" i="1"/>
  <c r="B34" i="1"/>
  <c r="DW33" i="1"/>
  <c r="M33" i="1" s="1"/>
  <c r="DV33" i="1"/>
  <c r="N33" i="1"/>
  <c r="L33" i="1"/>
  <c r="K33" i="1"/>
  <c r="J33" i="1"/>
  <c r="I33" i="1"/>
  <c r="F33" i="1" s="1"/>
  <c r="H33" i="1"/>
  <c r="G33" i="1"/>
  <c r="D33" i="1"/>
  <c r="C33" i="1"/>
  <c r="B33" i="1"/>
  <c r="DW32" i="1"/>
  <c r="DV32" i="1"/>
  <c r="M32" i="1" s="1"/>
  <c r="N32" i="1"/>
  <c r="L32" i="1"/>
  <c r="K32" i="1"/>
  <c r="J32" i="1"/>
  <c r="I32" i="1"/>
  <c r="F32" i="1" s="1"/>
  <c r="H32" i="1"/>
  <c r="G32" i="1"/>
  <c r="D32" i="1"/>
  <c r="C32" i="1"/>
  <c r="B32" i="1"/>
  <c r="DW31" i="1"/>
  <c r="DV31" i="1"/>
  <c r="M31" i="1" s="1"/>
  <c r="N31" i="1"/>
  <c r="L31" i="1"/>
  <c r="K31" i="1"/>
  <c r="J31" i="1"/>
  <c r="I31" i="1"/>
  <c r="F31" i="1" s="1"/>
  <c r="H31" i="1"/>
  <c r="G31" i="1"/>
  <c r="D31" i="1"/>
  <c r="C31" i="1"/>
  <c r="B31" i="1"/>
  <c r="DW30" i="1"/>
  <c r="DV30" i="1"/>
  <c r="N30" i="1"/>
  <c r="L30" i="1"/>
  <c r="K30" i="1"/>
  <c r="J30" i="1"/>
  <c r="I30" i="1"/>
  <c r="F30" i="1" s="1"/>
  <c r="H30" i="1"/>
  <c r="G30" i="1"/>
  <c r="D30" i="1"/>
  <c r="C30" i="1"/>
  <c r="B30" i="1"/>
  <c r="DW29" i="1"/>
  <c r="DV29" i="1"/>
  <c r="N29" i="1"/>
  <c r="M29" i="1"/>
  <c r="L29" i="1"/>
  <c r="K29" i="1"/>
  <c r="J29" i="1"/>
  <c r="I29" i="1"/>
  <c r="F29" i="1" s="1"/>
  <c r="H29" i="1"/>
  <c r="G29" i="1"/>
  <c r="D29" i="1"/>
  <c r="C29" i="1"/>
  <c r="B29" i="1"/>
  <c r="DW28" i="1"/>
  <c r="DV28" i="1"/>
  <c r="M28" i="1" s="1"/>
  <c r="N28" i="1"/>
  <c r="L28" i="1"/>
  <c r="K28" i="1"/>
  <c r="J28" i="1"/>
  <c r="I28" i="1"/>
  <c r="F28" i="1" s="1"/>
  <c r="H28" i="1"/>
  <c r="G28" i="1"/>
  <c r="D28" i="1"/>
  <c r="C28" i="1"/>
  <c r="B28" i="1"/>
  <c r="DW27" i="1"/>
  <c r="DV27" i="1"/>
  <c r="M27" i="1" s="1"/>
  <c r="N27" i="1"/>
  <c r="L27" i="1"/>
  <c r="K27" i="1"/>
  <c r="J27" i="1"/>
  <c r="I27" i="1"/>
  <c r="F27" i="1" s="1"/>
  <c r="H27" i="1"/>
  <c r="G27" i="1"/>
  <c r="D27" i="1"/>
  <c r="C27" i="1"/>
  <c r="B27" i="1"/>
  <c r="DW26" i="1"/>
  <c r="DV26" i="1"/>
  <c r="N26" i="1"/>
  <c r="L26" i="1"/>
  <c r="K26" i="1"/>
  <c r="J26" i="1"/>
  <c r="I26" i="1"/>
  <c r="F26" i="1" s="1"/>
  <c r="H26" i="1"/>
  <c r="G26" i="1"/>
  <c r="D26" i="1"/>
  <c r="C26" i="1"/>
  <c r="B26" i="1"/>
  <c r="DW25" i="1"/>
  <c r="DV25" i="1"/>
  <c r="M25" i="1" s="1"/>
  <c r="N25" i="1"/>
  <c r="L25" i="1"/>
  <c r="K25" i="1"/>
  <c r="J25" i="1"/>
  <c r="I25" i="1"/>
  <c r="F25" i="1" s="1"/>
  <c r="H25" i="1"/>
  <c r="G25" i="1"/>
  <c r="D25" i="1"/>
  <c r="C25" i="1"/>
  <c r="B25" i="1"/>
  <c r="DW24" i="1"/>
  <c r="DV24" i="1"/>
  <c r="N24" i="1"/>
  <c r="L24" i="1"/>
  <c r="K24" i="1"/>
  <c r="J24" i="1"/>
  <c r="I24" i="1"/>
  <c r="F24" i="1" s="1"/>
  <c r="H24" i="1"/>
  <c r="G24" i="1"/>
  <c r="D24" i="1"/>
  <c r="C24" i="1"/>
  <c r="B24" i="1"/>
  <c r="DW23" i="1"/>
  <c r="DV23" i="1"/>
  <c r="N23" i="1"/>
  <c r="L23" i="1"/>
  <c r="K23" i="1"/>
  <c r="J23" i="1"/>
  <c r="I23" i="1"/>
  <c r="F23" i="1" s="1"/>
  <c r="H23" i="1"/>
  <c r="G23" i="1"/>
  <c r="D23" i="1"/>
  <c r="C23" i="1"/>
  <c r="B23" i="1"/>
  <c r="DW22" i="1"/>
  <c r="DV22" i="1"/>
  <c r="N22" i="1"/>
  <c r="L22" i="1"/>
  <c r="K22" i="1"/>
  <c r="J22" i="1"/>
  <c r="I22" i="1"/>
  <c r="F22" i="1" s="1"/>
  <c r="H22" i="1"/>
  <c r="G22" i="1"/>
  <c r="D22" i="1"/>
  <c r="C22" i="1"/>
  <c r="B22" i="1"/>
  <c r="DW21" i="1"/>
  <c r="M21" i="1" s="1"/>
  <c r="DV21" i="1"/>
  <c r="N21" i="1"/>
  <c r="L21" i="1"/>
  <c r="K21" i="1"/>
  <c r="J21" i="1"/>
  <c r="I21" i="1"/>
  <c r="F21" i="1" s="1"/>
  <c r="H21" i="1"/>
  <c r="G21" i="1"/>
  <c r="D21" i="1"/>
  <c r="C21" i="1"/>
  <c r="B21" i="1"/>
  <c r="DW20" i="1"/>
  <c r="DV20" i="1"/>
  <c r="M20" i="1" s="1"/>
  <c r="N20" i="1"/>
  <c r="L20" i="1"/>
  <c r="K20" i="1"/>
  <c r="J20" i="1"/>
  <c r="I20" i="1"/>
  <c r="F20" i="1" s="1"/>
  <c r="H20" i="1"/>
  <c r="G20" i="1"/>
  <c r="D20" i="1"/>
  <c r="C20" i="1"/>
  <c r="B20" i="1"/>
  <c r="DW19" i="1"/>
  <c r="DV19" i="1"/>
  <c r="M19" i="1" s="1"/>
  <c r="N19" i="1"/>
  <c r="L19" i="1"/>
  <c r="K19" i="1"/>
  <c r="J19" i="1"/>
  <c r="I19" i="1"/>
  <c r="F19" i="1" s="1"/>
  <c r="H19" i="1"/>
  <c r="G19" i="1"/>
  <c r="D19" i="1"/>
  <c r="C19" i="1"/>
  <c r="B19" i="1"/>
  <c r="DW18" i="1"/>
  <c r="DV18" i="1"/>
  <c r="N18" i="1"/>
  <c r="L18" i="1"/>
  <c r="K18" i="1"/>
  <c r="J18" i="1"/>
  <c r="I18" i="1"/>
  <c r="F18" i="1" s="1"/>
  <c r="H18" i="1"/>
  <c r="G18" i="1"/>
  <c r="D18" i="1"/>
  <c r="C18" i="1"/>
  <c r="B18" i="1"/>
  <c r="DW17" i="1"/>
  <c r="DV17" i="1"/>
  <c r="M17" i="1" s="1"/>
  <c r="N17" i="1"/>
  <c r="L17" i="1"/>
  <c r="K17" i="1"/>
  <c r="J17" i="1"/>
  <c r="I17" i="1"/>
  <c r="F17" i="1" s="1"/>
  <c r="H17" i="1"/>
  <c r="G17" i="1"/>
  <c r="D17" i="1"/>
  <c r="C17" i="1"/>
  <c r="B17" i="1"/>
  <c r="DW16" i="1"/>
  <c r="DV16" i="1"/>
  <c r="M16" i="1" s="1"/>
  <c r="N16" i="1"/>
  <c r="L16" i="1"/>
  <c r="K16" i="1"/>
  <c r="J16" i="1"/>
  <c r="I16" i="1"/>
  <c r="F16" i="1" s="1"/>
  <c r="H16" i="1"/>
  <c r="G16" i="1"/>
  <c r="D16" i="1"/>
  <c r="C16" i="1"/>
  <c r="B16" i="1"/>
  <c r="DW15" i="1"/>
  <c r="DV15" i="1"/>
  <c r="M15" i="1" s="1"/>
  <c r="N15" i="1"/>
  <c r="L15" i="1"/>
  <c r="K15" i="1"/>
  <c r="J15" i="1"/>
  <c r="I15" i="1"/>
  <c r="F15" i="1" s="1"/>
  <c r="H15" i="1"/>
  <c r="G15" i="1"/>
  <c r="D15" i="1"/>
  <c r="C15" i="1"/>
  <c r="B15" i="1"/>
  <c r="DW14" i="1"/>
  <c r="DV14" i="1"/>
  <c r="N14" i="1"/>
  <c r="L14" i="1"/>
  <c r="K14" i="1"/>
  <c r="J14" i="1"/>
  <c r="I14" i="1"/>
  <c r="F14" i="1" s="1"/>
  <c r="H14" i="1"/>
  <c r="G14" i="1"/>
  <c r="D14" i="1"/>
  <c r="C14" i="1"/>
  <c r="B14" i="1"/>
  <c r="DW13" i="1"/>
  <c r="DV13" i="1"/>
  <c r="M13" i="1" s="1"/>
  <c r="N13" i="1"/>
  <c r="L13" i="1"/>
  <c r="K13" i="1"/>
  <c r="J13" i="1"/>
  <c r="I13" i="1"/>
  <c r="F13" i="1" s="1"/>
  <c r="H13" i="1"/>
  <c r="G13" i="1"/>
  <c r="D13" i="1"/>
  <c r="C13" i="1"/>
  <c r="B13" i="1"/>
  <c r="DW12" i="1"/>
  <c r="DV12" i="1"/>
  <c r="N12" i="1"/>
  <c r="L12" i="1"/>
  <c r="K12" i="1"/>
  <c r="J12" i="1"/>
  <c r="I12" i="1"/>
  <c r="F12" i="1" s="1"/>
  <c r="H12" i="1"/>
  <c r="G12" i="1"/>
  <c r="D12" i="1"/>
  <c r="C12" i="1"/>
  <c r="B12" i="1"/>
  <c r="DW11" i="1"/>
  <c r="DV11" i="1"/>
  <c r="N11" i="1"/>
  <c r="L11" i="1"/>
  <c r="K11" i="1"/>
  <c r="J11" i="1"/>
  <c r="I11" i="1"/>
  <c r="F11" i="1" s="1"/>
  <c r="H11" i="1"/>
  <c r="G11" i="1"/>
  <c r="D11" i="1"/>
  <c r="C11" i="1"/>
  <c r="B11" i="1"/>
  <c r="DW10" i="1"/>
  <c r="DV10" i="1"/>
  <c r="N10" i="1"/>
  <c r="L10" i="1"/>
  <c r="K10" i="1"/>
  <c r="J10" i="1"/>
  <c r="I10" i="1"/>
  <c r="F10" i="1" s="1"/>
  <c r="H10" i="1"/>
  <c r="G10" i="1"/>
  <c r="D10" i="1"/>
  <c r="C10" i="1"/>
  <c r="B10" i="1"/>
  <c r="DW9" i="1"/>
  <c r="M9" i="1" s="1"/>
  <c r="DV9" i="1"/>
  <c r="N9" i="1"/>
  <c r="L9" i="1"/>
  <c r="K9" i="1"/>
  <c r="J9" i="1"/>
  <c r="I9" i="1"/>
  <c r="F9" i="1" s="1"/>
  <c r="H9" i="1"/>
  <c r="G9" i="1"/>
  <c r="F7" i="1"/>
  <c r="D7" i="1"/>
  <c r="F6" i="1"/>
  <c r="D6" i="1"/>
  <c r="D5" i="1"/>
  <c r="O41" i="1" l="1"/>
  <c r="O43" i="1"/>
  <c r="O38" i="1"/>
  <c r="O42" i="1"/>
  <c r="O40" i="1"/>
  <c r="O39" i="1"/>
  <c r="M11" i="1"/>
  <c r="M12" i="1"/>
  <c r="M23" i="1"/>
  <c r="M24" i="1"/>
  <c r="M10" i="1"/>
  <c r="M14" i="1"/>
  <c r="M18" i="1"/>
  <c r="M22" i="1"/>
  <c r="M26" i="1"/>
  <c r="M30" i="1"/>
  <c r="M34" i="1"/>
  <c r="M36" i="1"/>
  <c r="P8" i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AV8" i="1" s="1"/>
  <c r="AX8" i="1" s="1"/>
  <c r="AZ8" i="1" s="1"/>
  <c r="BB8" i="1" s="1"/>
  <c r="BD8" i="1" s="1"/>
  <c r="BF8" i="1" s="1"/>
  <c r="BH8" i="1" s="1"/>
  <c r="BJ8" i="1" s="1"/>
  <c r="BL8" i="1" s="1"/>
  <c r="BN8" i="1" s="1"/>
  <c r="BP8" i="1" s="1"/>
  <c r="BR8" i="1" s="1"/>
  <c r="BT8" i="1" s="1"/>
  <c r="BV8" i="1" s="1"/>
  <c r="BX8" i="1" s="1"/>
  <c r="BZ8" i="1" s="1"/>
  <c r="CB8" i="1" s="1"/>
  <c r="CD8" i="1" s="1"/>
  <c r="CF8" i="1" s="1"/>
  <c r="CH8" i="1" s="1"/>
  <c r="CJ8" i="1" s="1"/>
  <c r="CL8" i="1" s="1"/>
  <c r="CN8" i="1" s="1"/>
  <c r="CP8" i="1" s="1"/>
  <c r="CR8" i="1" s="1"/>
  <c r="CT8" i="1" s="1"/>
  <c r="CV8" i="1" s="1"/>
  <c r="P7" i="1"/>
  <c r="Q8" i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BQ8" i="1" s="1"/>
  <c r="BS8" i="1" s="1"/>
  <c r="BU8" i="1" s="1"/>
  <c r="BW8" i="1" s="1"/>
  <c r="BY8" i="1" s="1"/>
  <c r="CA8" i="1" s="1"/>
  <c r="CC8" i="1" s="1"/>
  <c r="CE8" i="1" s="1"/>
  <c r="CG8" i="1" s="1"/>
  <c r="CI8" i="1" s="1"/>
  <c r="CK8" i="1" s="1"/>
  <c r="CM8" i="1" s="1"/>
  <c r="CO8" i="1" s="1"/>
  <c r="CQ8" i="1" s="1"/>
  <c r="CS8" i="1" s="1"/>
  <c r="CU8" i="1" s="1"/>
  <c r="CW8" i="1" s="1"/>
  <c r="Q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S7" i="1" l="1"/>
  <c r="Q6" i="1"/>
  <c r="R7" i="1"/>
  <c r="P6" i="1"/>
  <c r="T7" i="1" l="1"/>
  <c r="R6" i="1"/>
  <c r="U7" i="1"/>
  <c r="S6" i="1"/>
  <c r="W7" i="1" l="1"/>
  <c r="U6" i="1"/>
  <c r="V7" i="1"/>
  <c r="T6" i="1"/>
  <c r="X7" i="1" l="1"/>
  <c r="V6" i="1"/>
  <c r="Y7" i="1"/>
  <c r="W6" i="1"/>
  <c r="AA7" i="1" l="1"/>
  <c r="Y6" i="1"/>
  <c r="Z7" i="1"/>
  <c r="X6" i="1"/>
  <c r="AB7" i="1" l="1"/>
  <c r="Z6" i="1"/>
  <c r="AC7" i="1"/>
  <c r="AA6" i="1"/>
  <c r="AE7" i="1" l="1"/>
  <c r="AC6" i="1"/>
  <c r="AD7" i="1"/>
  <c r="AB6" i="1"/>
  <c r="AF7" i="1" l="1"/>
  <c r="AD6" i="1"/>
  <c r="AG7" i="1"/>
  <c r="AE6" i="1"/>
  <c r="AI7" i="1" l="1"/>
  <c r="AG6" i="1"/>
  <c r="AH7" i="1"/>
  <c r="AF6" i="1"/>
  <c r="AJ7" i="1" l="1"/>
  <c r="AH6" i="1"/>
  <c r="AK7" i="1"/>
  <c r="AI6" i="1"/>
  <c r="AM7" i="1" l="1"/>
  <c r="AK6" i="1"/>
  <c r="AL7" i="1"/>
  <c r="AJ6" i="1"/>
  <c r="AN7" i="1" l="1"/>
  <c r="AL6" i="1"/>
  <c r="AO7" i="1"/>
  <c r="AM6" i="1"/>
  <c r="AQ7" i="1" l="1"/>
  <c r="AO6" i="1"/>
  <c r="AP7" i="1"/>
  <c r="AN6" i="1"/>
  <c r="AR7" i="1" l="1"/>
  <c r="AP6" i="1"/>
  <c r="AS7" i="1"/>
  <c r="AQ6" i="1"/>
  <c r="AU7" i="1" l="1"/>
  <c r="AS6" i="1"/>
  <c r="AT7" i="1"/>
  <c r="AR6" i="1"/>
  <c r="AV7" i="1" l="1"/>
  <c r="AT6" i="1"/>
  <c r="AW7" i="1"/>
  <c r="AU6" i="1"/>
  <c r="AY7" i="1" l="1"/>
  <c r="AW6" i="1"/>
  <c r="AX7" i="1"/>
  <c r="AV6" i="1"/>
  <c r="AZ7" i="1" l="1"/>
  <c r="AX6" i="1"/>
  <c r="BA7" i="1"/>
  <c r="AY6" i="1"/>
  <c r="BC7" i="1" l="1"/>
  <c r="BA6" i="1"/>
  <c r="BB7" i="1"/>
  <c r="AZ6" i="1"/>
  <c r="BD7" i="1" l="1"/>
  <c r="BB6" i="1"/>
  <c r="BE7" i="1"/>
  <c r="BC6" i="1"/>
  <c r="BG7" i="1" l="1"/>
  <c r="BE6" i="1"/>
  <c r="BF7" i="1"/>
  <c r="BD6" i="1"/>
  <c r="BH7" i="1" l="1"/>
  <c r="BF6" i="1"/>
  <c r="BI7" i="1"/>
  <c r="BG6" i="1"/>
  <c r="BK7" i="1" l="1"/>
  <c r="BI6" i="1"/>
  <c r="BJ7" i="1"/>
  <c r="BH6" i="1"/>
  <c r="BL7" i="1" l="1"/>
  <c r="BJ6" i="1"/>
  <c r="BM7" i="1"/>
  <c r="BK6" i="1"/>
  <c r="BO7" i="1" l="1"/>
  <c r="BM6" i="1"/>
  <c r="BN7" i="1"/>
  <c r="BL6" i="1"/>
  <c r="BP7" i="1" l="1"/>
  <c r="BN6" i="1"/>
  <c r="BQ7" i="1"/>
  <c r="BO6" i="1"/>
  <c r="BS7" i="1" l="1"/>
  <c r="BQ6" i="1"/>
  <c r="BR7" i="1"/>
  <c r="BP6" i="1"/>
  <c r="BT7" i="1" l="1"/>
  <c r="BR6" i="1"/>
  <c r="BU7" i="1"/>
  <c r="BS6" i="1"/>
  <c r="BW7" i="1" l="1"/>
  <c r="BU6" i="1"/>
  <c r="BV7" i="1"/>
  <c r="BT6" i="1"/>
  <c r="BX7" i="1" l="1"/>
  <c r="BV6" i="1"/>
  <c r="BY7" i="1"/>
  <c r="BW6" i="1"/>
  <c r="CA7" i="1" l="1"/>
  <c r="BY6" i="1"/>
  <c r="BZ7" i="1"/>
  <c r="BX6" i="1"/>
  <c r="CB7" i="1" l="1"/>
  <c r="BZ6" i="1"/>
  <c r="CC7" i="1"/>
  <c r="CA6" i="1"/>
  <c r="CE7" i="1" l="1"/>
  <c r="CC6" i="1"/>
  <c r="CD7" i="1"/>
  <c r="CB6" i="1"/>
  <c r="CF7" i="1" l="1"/>
  <c r="CD6" i="1"/>
  <c r="CG7" i="1"/>
  <c r="CE6" i="1"/>
  <c r="CI7" i="1" l="1"/>
  <c r="CG6" i="1"/>
  <c r="CH7" i="1"/>
  <c r="CF6" i="1"/>
  <c r="CJ7" i="1" l="1"/>
  <c r="CH6" i="1"/>
  <c r="CK7" i="1"/>
  <c r="CI6" i="1"/>
  <c r="CM7" i="1" l="1"/>
  <c r="CK6" i="1"/>
  <c r="CL7" i="1"/>
  <c r="CJ6" i="1"/>
  <c r="CN7" i="1" l="1"/>
  <c r="CL6" i="1"/>
  <c r="CO7" i="1"/>
  <c r="CM6" i="1"/>
  <c r="CQ7" i="1" l="1"/>
  <c r="CO6" i="1"/>
  <c r="CP7" i="1"/>
  <c r="CN6" i="1"/>
  <c r="CR7" i="1" l="1"/>
  <c r="CP6" i="1"/>
  <c r="CS7" i="1"/>
  <c r="CQ6" i="1"/>
  <c r="CU7" i="1" l="1"/>
  <c r="CS6" i="1"/>
  <c r="CT7" i="1"/>
  <c r="CR6" i="1"/>
  <c r="CV7" i="1" l="1"/>
  <c r="CV6" i="1" s="1"/>
  <c r="CT6" i="1"/>
  <c r="CW7" i="1"/>
  <c r="CW6" i="1" s="1"/>
  <c r="CU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9" authorId="0" shapeId="0" xr:uid="{CB31A614-A2E7-494F-8521-646B5FC609BB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K23" authorId="0" shapeId="0" xr:uid="{43794951-C47D-42C8-8846-C58C91C980E7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K32" authorId="0" shapeId="0" xr:uid="{9CDDA767-78B5-4610-847E-E3A4DE1ED140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K34" authorId="0" shapeId="0" xr:uid="{050B38BC-B496-4B5E-BE22-EBCED19E93F8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K36" authorId="0" shapeId="0" xr:uid="{E2BE8C91-D309-4AF3-875E-EFA494A0E614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K40" authorId="0" shapeId="0" xr:uid="{D8ABE644-A273-4804-A68C-1635A5E838A3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  <comment ref="K45" authorId="0" shapeId="0" xr:uid="{A37DD368-B557-4C79-812A-A2B921496C4C}">
      <text>
        <r>
          <rPr>
            <sz val="10"/>
            <color rgb="FF000000"/>
            <rFont val="Calibri"/>
            <family val="2"/>
            <scheme val="minor"/>
          </rPr>
          <t>La persona que ha respondido ha actualizado este valor.</t>
        </r>
      </text>
    </comment>
  </commentList>
</comments>
</file>

<file path=xl/sharedStrings.xml><?xml version="1.0" encoding="utf-8"?>
<sst xmlns="http://schemas.openxmlformats.org/spreadsheetml/2006/main" count="596" uniqueCount="290">
  <si>
    <r>
      <rPr>
        <b/>
        <sz val="10"/>
        <color theme="1"/>
        <rFont val="Quattrocento Sans"/>
      </rPr>
      <t xml:space="preserve">SERVICIO NACIONAL DE APRENDIZAJE 
</t>
    </r>
    <r>
      <rPr>
        <sz val="10"/>
        <color theme="1"/>
        <rFont val="Segoe UI"/>
        <family val="2"/>
      </rPr>
      <t>CENTRO DE GESTION DE MERCADOS, LOGISTICA Y TEGNOLOGIAS DE LA INFORMACIÓN</t>
    </r>
    <r>
      <rPr>
        <sz val="10"/>
        <color rgb="FF2F5496"/>
        <rFont val="Segoe UI"/>
        <family val="2"/>
      </rPr>
      <t xml:space="preserve">
</t>
    </r>
    <r>
      <rPr>
        <b/>
        <u/>
        <sz val="10"/>
        <color rgb="FF2F5496"/>
        <rFont val="Segoe UI"/>
        <family val="2"/>
      </rPr>
      <t>SEGUIMIENTO DE INASISTENCIAS</t>
    </r>
  </si>
  <si>
    <t>ACTIVIDADES DE PROYECTO</t>
  </si>
  <si>
    <t>CIERRE DE AÑO ESCOLAR</t>
  </si>
  <si>
    <t>TOTAL APRENDICES MATRICULADOS:</t>
  </si>
  <si>
    <t>GUÍAS</t>
  </si>
  <si>
    <t>PROGRAMA DE FORMACIÓN:</t>
  </si>
  <si>
    <t>MARKETING DIGITAL</t>
  </si>
  <si>
    <t>COMPETENCIAS</t>
  </si>
  <si>
    <t>INSTRUCTOR SENA:</t>
  </si>
  <si>
    <t>MANUEL YAYA / CARLOS RUIZ</t>
  </si>
  <si>
    <t>RESULTADOS DE APRENDIZAJE</t>
  </si>
  <si>
    <t>CE</t>
  </si>
  <si>
    <t>CON EXCUSA</t>
  </si>
  <si>
    <t>SE</t>
  </si>
  <si>
    <t>SIN EXCUSA</t>
  </si>
  <si>
    <t>INSTITUCIÓN EDUCATIVA:</t>
  </si>
  <si>
    <t>FICHA O GRUPO:</t>
  </si>
  <si>
    <t>GRADO:</t>
  </si>
  <si>
    <t>HORAS TOTALES DE INASISTENCIAS MENSUAL DEL APRENDIZ</t>
  </si>
  <si>
    <t>PRIMER DÍA DE FORMACIÓN:</t>
  </si>
  <si>
    <t>SEGUNDO DÍA DE FORMACIÓN: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</si>
  <si>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</si>
  <si>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</si>
  <si>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</si>
  <si>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</si>
  <si>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</si>
  <si>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</si>
  <si>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</si>
  <si>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</si>
  <si>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</si>
  <si>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</si>
  <si>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</si>
  <si>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</si>
  <si>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</si>
  <si>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No</t>
  </si>
  <si>
    <t>TIP_DOC</t>
  </si>
  <si>
    <t>IDENTIFICACIÓN</t>
  </si>
  <si>
    <t>NOMBRES Y APELLIDOS</t>
  </si>
  <si>
    <t>ESTADO</t>
  </si>
  <si>
    <t>ALETA DE INASISTENCIAS Y OBSEVACIONES</t>
  </si>
  <si>
    <t>A</t>
  </si>
  <si>
    <t>INC</t>
  </si>
  <si>
    <t>LIC</t>
  </si>
  <si>
    <t>CLM</t>
  </si>
  <si>
    <t>SFF</t>
  </si>
  <si>
    <t>RET</t>
  </si>
  <si>
    <t>% INASISTENCIAS</t>
  </si>
  <si>
    <t>PROGRMAS</t>
  </si>
  <si>
    <t>EN FORMACIÓN</t>
  </si>
  <si>
    <t>1 VENTA DE PRODUCTOS EN LINEA. 632201. v1</t>
  </si>
  <si>
    <t>3 INTEGRACION DE OPERACIONES LOGISTICAS. 137136. v1</t>
  </si>
  <si>
    <t>4 OPERACIONES DE COMERCIO EXTERIOR. 134600. v1</t>
  </si>
  <si>
    <t>5 SISTEMAS TELEINFORMÁTICOS. 233108. v1</t>
  </si>
  <si>
    <t>6 INSTALACION DE REDES DE COMPUTADORES. 233102. v1</t>
  </si>
  <si>
    <t>7 INTEGRACION DE CONTENIDOS DIGITALES. 524704. v1</t>
  </si>
  <si>
    <t>8 PROGRAMACIÓN DE APLICACIONES PARA DISPOSITIVOS MÓVILES. 228123. v1</t>
  </si>
  <si>
    <t>9 PROGRAMACIÓN DE APLICACIONES Y SERVICIOS PARA LA NUBE. 228122. v1</t>
  </si>
  <si>
    <t>10 PROGRAMACION DE SOFTWARE. 233104. v2</t>
  </si>
  <si>
    <t>11 SERVICE OPERATION IN BILINGUAL BPO CHANNELS. 137500. v1</t>
  </si>
  <si>
    <t>12 COMUNICACIÓN COMERCIAL Y MARKETING.</t>
  </si>
  <si>
    <t>NO MATRICULADO</t>
  </si>
  <si>
    <t>ASIATE</t>
  </si>
  <si>
    <t>INCAPACIDAD</t>
  </si>
  <si>
    <t>LICENCIA</t>
  </si>
  <si>
    <t>CALAMIDAD</t>
  </si>
  <si>
    <t>SIN FORMACIÓN O FERIADOS</t>
  </si>
  <si>
    <t>RETIRADO</t>
  </si>
  <si>
    <r>
      <rPr>
        <b/>
        <sz val="11"/>
        <color theme="1"/>
        <rFont val="Arial"/>
        <family val="2"/>
      </rPr>
      <t xml:space="preserve">NÚMERO DE FORMACIÓN POR SEMANA </t>
    </r>
    <r>
      <rPr>
        <sz val="11"/>
        <color theme="1"/>
        <rFont val="Arial"/>
        <family val="2"/>
      </rPr>
      <t xml:space="preserve">(1 </t>
    </r>
    <r>
      <rPr>
        <sz val="8"/>
        <color theme="1"/>
        <rFont val="Arial"/>
        <family val="2"/>
      </rPr>
      <t>Ó</t>
    </r>
    <r>
      <rPr>
        <sz val="11"/>
        <color theme="1"/>
        <rFont val="Arial"/>
        <family val="2"/>
      </rPr>
      <t xml:space="preserve"> 2)</t>
    </r>
    <r>
      <rPr>
        <b/>
        <sz val="11"/>
        <color theme="1"/>
        <rFont val="Arial"/>
        <family val="2"/>
      </rPr>
      <t>:</t>
    </r>
  </si>
  <si>
    <t xml:space="preserve">                                    </t>
  </si>
  <si>
    <r>
      <rPr>
        <b/>
        <sz val="11"/>
        <color theme="1"/>
        <rFont val="Arial"/>
        <family val="2"/>
      </rPr>
      <t xml:space="preserve">PRIMER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</si>
  <si>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t>CORREO INSTRUCTOR:</t>
  </si>
  <si>
    <r>
      <rPr>
        <b/>
        <sz val="11"/>
        <color theme="1"/>
        <rFont val="Arial"/>
        <family val="2"/>
      </rPr>
      <t xml:space="preserve">SEGUNDO DÍA DE FORMACIÓN </t>
    </r>
    <r>
      <rPr>
        <sz val="11"/>
        <color theme="1"/>
        <rFont val="Arial"/>
        <family val="2"/>
      </rPr>
      <t>(dd/mm/aaaa)</t>
    </r>
    <r>
      <rPr>
        <b/>
        <sz val="11"/>
        <color theme="1"/>
        <rFont val="Arial"/>
        <family val="2"/>
      </rPr>
      <t>:</t>
    </r>
  </si>
  <si>
    <r>
      <rPr>
        <b/>
        <sz val="11"/>
        <color theme="1"/>
        <rFont val="Arial"/>
        <family val="2"/>
      </rPr>
      <t xml:space="preserve">GRADO </t>
    </r>
    <r>
      <rPr>
        <sz val="11"/>
        <color theme="1"/>
        <rFont val="Arial"/>
        <family val="2"/>
      </rPr>
      <t>(11)</t>
    </r>
    <r>
      <rPr>
        <b/>
        <sz val="11"/>
        <color theme="1"/>
        <rFont val="Arial"/>
        <family val="2"/>
      </rPr>
      <t>:</t>
    </r>
  </si>
  <si>
    <t>LINK PORTAFOLIO INSTRUCTOR:</t>
  </si>
  <si>
    <t>No de documento de identidad</t>
  </si>
  <si>
    <t>Correo electrónico @soy.sena.edu.co</t>
  </si>
  <si>
    <t>Correo  electrónico alterno</t>
  </si>
  <si>
    <t>Teléfono de contacto</t>
  </si>
  <si>
    <t>Nombres completos del acudiente</t>
  </si>
  <si>
    <t>Teléfono de Acudiente</t>
  </si>
  <si>
    <t xml:space="preserve">                                </t>
  </si>
  <si>
    <t xml:space="preserve">GRUPOS DE TRABAJO </t>
  </si>
  <si>
    <t>N° 1</t>
  </si>
  <si>
    <t xml:space="preserve">NOMBRE </t>
  </si>
  <si>
    <t>APELLIDO</t>
  </si>
  <si>
    <t xml:space="preserve">CORREO </t>
  </si>
  <si>
    <t>NOMBRE DEL GRUPO</t>
  </si>
  <si>
    <t xml:space="preserve">N° 2 </t>
  </si>
  <si>
    <t xml:space="preserve">N° 3 </t>
  </si>
  <si>
    <t xml:space="preserve">N° 4 </t>
  </si>
  <si>
    <t>N° 5</t>
  </si>
  <si>
    <t>N° 6</t>
  </si>
  <si>
    <t>TI</t>
  </si>
  <si>
    <t>Nombre</t>
  </si>
  <si>
    <t>Correo_Acudiente</t>
  </si>
  <si>
    <t>ID_Drive</t>
  </si>
  <si>
    <t>Tipo de documento</t>
  </si>
  <si>
    <t>OSCAR DAVID MURIEL CERQUERA - CARLOS ALBERTO SALCEDO DURAN</t>
  </si>
  <si>
    <t>omuriel@sena.edu.co - csalcedo@sena.edu.co</t>
  </si>
  <si>
    <t>COLEGIO TOMAS CIPRIANO DE MOSQUERA (IED)</t>
  </si>
  <si>
    <t>https://sena4-my.sharepoint.com/shared?id=%2Fpersonal%2Fapuentes%5Fsena%5Fedu%5Fco%2FDocuments%2FA%C3%91O%202026%2FSUPERVISION%20CUENTAS%20DE%20COBRO%20ARTICULACION%202026%2FCARLOS%20ALBERTO%20SALCEDO%20DURAN%2FPORTAFOLIO%5FDE%5FEVIDENCIAS%5FCARLOS%5FALBERTO%5FSALCEDO%5FDURAN%2FGRUPO%20%2D%203453742%20%2D%20COLEGIO%20TOMAS%20CIPRIANO&amp;viewid=f99452b8%2D8171%2D424a%2D90f1%2D23fef74632a4</t>
  </si>
  <si>
    <t>EMILY ALEXANDRA AGUILAR CASTELLANOS</t>
  </si>
  <si>
    <t>caste24emily@gmail.com</t>
  </si>
  <si>
    <t>Diana Carolina Castellanos Triana</t>
  </si>
  <si>
    <t>dcastetriana@gmail.com</t>
  </si>
  <si>
    <t>https://drive.google.com/drive/folders/1Ey2OXzQ-36kC0hbd8mRB0-3nF6ohDEa1</t>
  </si>
  <si>
    <t>ALISON DAYANNA AGUILAR CASTELLANOS</t>
  </si>
  <si>
    <t>alison24caste@gmail.com</t>
  </si>
  <si>
    <t>https://drive.google.com/drive/folders/1kIYr5vKcwdaSTEe86fpVgNuq14Yhe8p5</t>
  </si>
  <si>
    <t>ISABEL SOFIA ARIZA PEERPIÑAN</t>
  </si>
  <si>
    <t>arizaisabel897@gmail.com</t>
  </si>
  <si>
    <t>Rosio Esther Perpiñan Rueda</t>
  </si>
  <si>
    <t>arizajuliana0@gmail.com</t>
  </si>
  <si>
    <t>https://drive.google.com/drive/folders/133WEJliAoA3jM3Zkt9g1HAQVseDs9MTO</t>
  </si>
  <si>
    <t>SANTIAGO BENAVIDES BENAVIDES</t>
  </si>
  <si>
    <t>chichebenavides@gmail.com</t>
  </si>
  <si>
    <t>BEATRIZ BENAVIDES BENAVIDES</t>
  </si>
  <si>
    <t>BETTYBENA2473@GMAIL.COM</t>
  </si>
  <si>
    <t>https://drive.google.com/drive/folders/1W81U6wPwKEckJdx-dtaKMpc4iKWyOQOW?usp=sharing</t>
  </si>
  <si>
    <t>NICOL DAYANA BENJUMEA LOPEZ</t>
  </si>
  <si>
    <t>benjumeanicol506@gmail.com</t>
  </si>
  <si>
    <t>Uveni Lopez Ospina</t>
  </si>
  <si>
    <t>uvenilopez1979@gmail.com</t>
  </si>
  <si>
    <t>https://drive.google.com/drive/folders/1zzk85l77kDJ3UFzojwMtu1tA5UnG3g1q?usp=sharing</t>
  </si>
  <si>
    <t>ANDRES FELIPE CABRERA ZAMORA</t>
  </si>
  <si>
    <t>CC</t>
  </si>
  <si>
    <t>cabreraandres273@gmail.com</t>
  </si>
  <si>
    <t>María Astrid Zamora Olaya</t>
  </si>
  <si>
    <t>Zamoradaniel3@gmail.com</t>
  </si>
  <si>
    <t>https://drive.google.com/drive/folders/1Rql2fyFLX-9FCBssKN0Fioih3ILoNWsH</t>
  </si>
  <si>
    <t>YULIETH VALENTINA CAICEDO SALCEDO</t>
  </si>
  <si>
    <t>caicedovalentina426@gmail.com</t>
  </si>
  <si>
    <t>Clara yamile salcedo martinez</t>
  </si>
  <si>
    <t>ncaicedo038@gmail.com</t>
  </si>
  <si>
    <t>https://drive.google.com/drive/folders/1OQCbGeop74FCv-9U-_IsRaHdpI3JArQ3</t>
  </si>
  <si>
    <t>MARIANA SOFIA CANGREJO CRUZ</t>
  </si>
  <si>
    <t>mariu.cruz7855@gmail.com</t>
  </si>
  <si>
    <t>Yudy Marisela Cangrejo Cruz</t>
  </si>
  <si>
    <t>ycrangrejocruz@gmail.com</t>
  </si>
  <si>
    <t>https://drive.google.com/drive/folders/1_X8L4tGD0hUMnw_7pcM_MBW83A8-UOS8?usp=sharing</t>
  </si>
  <si>
    <t>LAURA VALENTINA CAPACHO SALAZAR</t>
  </si>
  <si>
    <t>monaflaca2011a@gmail.com</t>
  </si>
  <si>
    <t>Lili Salazar Ochoa</t>
  </si>
  <si>
    <t>https://drive.google.com/drive/folders/1oNg4dpgS6iZrsyWnWTHwHn1zhYPncjEg?usp=sharing</t>
  </si>
  <si>
    <t>ALLISON SARITH CHAPPARRO VARGAS</t>
  </si>
  <si>
    <t>chaparrovargasallisonsarith@gmail.com</t>
  </si>
  <si>
    <t>Martha Yaneth Vargas Medina</t>
  </si>
  <si>
    <t>marthaavargas77@gmail.com</t>
  </si>
  <si>
    <t>https://drive.google.com/drive/folders/1SHnMuDeAdvIdHtOw2nqZL1Zv0V4_53jt</t>
  </si>
  <si>
    <t>JULIAN DAVID CHAVES CASTAÑEDA</t>
  </si>
  <si>
    <t>chavesjulian875@gmail.com</t>
  </si>
  <si>
    <t>Milton David Chaves Ochoa</t>
  </si>
  <si>
    <t>miltonchaves1990@gmail.com</t>
  </si>
  <si>
    <t>https://drive.google.com/drive/folders/1fL7l_SHmHtH6EHKHacLlnAxe2UJqEoko?usp=sharing</t>
  </si>
  <si>
    <t>SANTIAGO DELGADO ROMERO</t>
  </si>
  <si>
    <t>santiagodelgadoromero12@gmail.com</t>
  </si>
  <si>
    <t>MARTHA LUCIA ROMERO RUEDA</t>
  </si>
  <si>
    <t>martharome14@gmail.com</t>
  </si>
  <si>
    <t>https://drive.google.com/drive/folders/1bBsqlyou1RJBEkOMqRz4rClqhUtrDIWK?usp=sharing</t>
  </si>
  <si>
    <t>DANIELA DIAZ CLAVIJO</t>
  </si>
  <si>
    <t>daniela.diaz806@educacionbogota.edu.co</t>
  </si>
  <si>
    <t>marta lucia Clavijo rubiano</t>
  </si>
  <si>
    <t>lufedaju@hotmail.com</t>
  </si>
  <si>
    <t>https://internoredpedu-my.sharepoint.com/:f:/g/personal/daniela_diaz806_educacionbogota_edu_co/IgCERO2HxQ6eQLR1jDzExpK4AXH9115Cz0d6cjBQktx__54?e=7s1jc6</t>
  </si>
  <si>
    <t>JULIANA DIAZ CLAVIJO</t>
  </si>
  <si>
    <t>juliana.diaz807@educacionbogota.edu.co</t>
  </si>
  <si>
    <t>Marta Lucia Clavijo</t>
  </si>
  <si>
    <t>luciaclavijor@gmail.com</t>
  </si>
  <si>
    <t>https://internoredpedu-my.sharepoint.com/:f:/g/personal/juliana_diaz807_educacionbogota_edu_co/IgCXuFp6zmHaTpeGP-MtG1u3AQXGR32_PAjR1FXXm8IXl9A?e=aplUhK</t>
  </si>
  <si>
    <t>MARIANA ESPITIA DE LA CRUZ</t>
  </si>
  <si>
    <t>marianaespitiadelacruz@gmail.com</t>
  </si>
  <si>
    <t>diana luz de la cruz</t>
  </si>
  <si>
    <t>https://drive.google.com/file/d/1aoIhYbB26w6Zn8ZbkdwVz0OMU5qVpBA-/view?usp=sharing</t>
  </si>
  <si>
    <t>ANGIE LIZETH HERNANDEZ MARTINEZ</t>
  </si>
  <si>
    <t>angielizethhernandez5@gmail.com</t>
  </si>
  <si>
    <t>Jennifer tatiana Martínez Duarte</t>
  </si>
  <si>
    <t>Wilson.hernandezherreno50@gmail.con</t>
  </si>
  <si>
    <t>https://drive.google.com/drive/folders/1-0ukCNUd3HAvuKOVJQlQxzmZFMRssInA</t>
  </si>
  <si>
    <t>MARIA PAULA IBARRA SUAREZ</t>
  </si>
  <si>
    <t>Paulasuarez24202512@gmail.com</t>
  </si>
  <si>
    <t>Yenny andrea Suárez rincon</t>
  </si>
  <si>
    <t>suarezrinconyennyandreasuarez@gmail.com</t>
  </si>
  <si>
    <t>https://drive.google.com/drive/folders/1I-3OxNaznwWEYfZ_2lMECuZlTafAw1Hf</t>
  </si>
  <si>
    <t>JULIETH SOFIA MARTINEZ NUMPAQUE</t>
  </si>
  <si>
    <t>venusofia2006@gmail.com</t>
  </si>
  <si>
    <t>Maria Ayde Numpaque Sana</t>
  </si>
  <si>
    <t>aydenumpaque78@gmail.com</t>
  </si>
  <si>
    <t>https://drive.google.com/drive/folders/1FZwTN-urMlmRMo1CDeP0c8AVbUkifWoC?usp=sharing</t>
  </si>
  <si>
    <t>JUAN DAVID MARTINEZMARTINEZ</t>
  </si>
  <si>
    <t>d35267098@gmail.com</t>
  </si>
  <si>
    <t>Angelica Maria Martinez salgado</t>
  </si>
  <si>
    <t>Martínezsalgadoangelicamaria@gmail.com</t>
  </si>
  <si>
    <t>https://drive.google.com/drive/folders/1jm0__UZcVLVxVKr-hPkU3eTYSXSxqzgr</t>
  </si>
  <si>
    <t>JENNIFER ANDREA MATALLANA SANTAMARIA</t>
  </si>
  <si>
    <t>matallanasantamaria@gmail.com</t>
  </si>
  <si>
    <t>José Isaías Matallana Vargas</t>
  </si>
  <si>
    <t>matallanavargasjoseisais@gmail.com</t>
  </si>
  <si>
    <t>https://drive.google.com/drive/folders/1Ol3ymAls4QQ4muTF5baPpJkE2z9sMVTg</t>
  </si>
  <si>
    <t>JOHAN ALEJANDRO MURCIA QUIJANO</t>
  </si>
  <si>
    <t>johanmurciaq105@gmail.com</t>
  </si>
  <si>
    <t>Yeraldin Quijano Hurtado</t>
  </si>
  <si>
    <t>yeralmona26@gmail.com</t>
  </si>
  <si>
    <t>https://drive.google.com/drive/folders/1VZVLXZ3NBOnOEKf3TJaYUqvtS_2EcZ1u</t>
  </si>
  <si>
    <t>SARA VALENTINA NONTOA GÓMEZ</t>
  </si>
  <si>
    <t>nontoavalentinasara@gmail.com</t>
  </si>
  <si>
    <t>Natalia Rocio Gómez Gutierrez</t>
  </si>
  <si>
    <t>nataliar2062@gmail.com</t>
  </si>
  <si>
    <t>https://drive.google.com/drive/folders/1w0DRjvkzi_UaG47-PjCf5qNoWBeHWAWr?usp=sharing</t>
  </si>
  <si>
    <t>MARIA CAMILA ORTEGON PEREZ</t>
  </si>
  <si>
    <t>Ortegonperezmariacamila@gmail.com</t>
  </si>
  <si>
    <t>Gloria jeaneth perez sua</t>
  </si>
  <si>
    <t>gloriaperezsua08@gmail.com</t>
  </si>
  <si>
    <t>https://drive.google.com/drive/folders/1LTAocsMDRuL6vyWdQACHkj1Uvn19Xw4V</t>
  </si>
  <si>
    <t>ANTONY ORTIZ PALACIOS</t>
  </si>
  <si>
    <t>Antonyortizpalacios@gmail.com</t>
  </si>
  <si>
    <t>LUZ MARY</t>
  </si>
  <si>
    <t>Maryluzpalacios74@gmail.com</t>
  </si>
  <si>
    <t>https://drive.google.com/drive/folders/10wy1JZ47LBo-Mllr0WwiMO4IcQWsV78B</t>
  </si>
  <si>
    <t>VALENTINA OSPINA ORTIZ</t>
  </si>
  <si>
    <t>vale.ortiz2614@gmail.com</t>
  </si>
  <si>
    <t>patricia rodriguez estupiñan</t>
  </si>
  <si>
    <t>valealeja586@gmail.com</t>
  </si>
  <si>
    <t>https://drive.google.com/drive/folders/1_3wfvgDjj5E7lhjfNzlS6UW7MP2lxVGd?usp=sharing</t>
  </si>
  <si>
    <t>ANA SOFIA PATIÑO CASTRO</t>
  </si>
  <si>
    <t>Anafia3133@gmail.com</t>
  </si>
  <si>
    <t>Gloria Stella Castro Castro</t>
  </si>
  <si>
    <t>https://drive.google.com/drive/folders/1RZRdct1oY0ytmuKBrgDNTr3rnubssdTp</t>
  </si>
  <si>
    <t>KAROL SAMANTA PINZON GRANADOS</t>
  </si>
  <si>
    <t>karolsamantap@gmail.com</t>
  </si>
  <si>
    <t>July Andrea Pinzon Granados</t>
  </si>
  <si>
    <t>pinzonyuliandrea@gmail.com</t>
  </si>
  <si>
    <t>https://drive.google.com/drive/folders/1ULGR6dH3MV580c6xMGZExsHidn1cppAF?usp=sharing</t>
  </si>
  <si>
    <t>DANA VALENTINA QUIJANO CORONADO</t>
  </si>
  <si>
    <t>quijanodanavalentina@gmail.com</t>
  </si>
  <si>
    <t>Liliana Emilce Coronado Rodriguez</t>
  </si>
  <si>
    <t>lilianacoronado2018@gmail.com</t>
  </si>
  <si>
    <t>https://drive.google.com/drive/folders/1aMyTa-7vwOQVG96B3ZUPkJ572zqX1LDC?usp=sharing</t>
  </si>
  <si>
    <t>LINA SOFIA RAMIREZ DUARTE</t>
  </si>
  <si>
    <t>linasofiaramirez1406@gmail.com</t>
  </si>
  <si>
    <t>Yeimy Carolina Duarte Espitia</t>
  </si>
  <si>
    <t>yeimycarolina2011@hotmail.com</t>
  </si>
  <si>
    <t>https://drive.google.com/file/d/1Ff-Dgrh6Ys7Z4rn3yoPquYwFHY8mjtzM/view?usp=drivesdk</t>
  </si>
  <si>
    <t>JULIE ANDREA RIVERA LOZANO</t>
  </si>
  <si>
    <t>jariveralozano@gmail.com</t>
  </si>
  <si>
    <t>Myriam García gordillo</t>
  </si>
  <si>
    <t>https://drive.google.com/drive/folders/14QYdR02xU4niN6ltTLgUX5VPX__z_ZFw</t>
  </si>
  <si>
    <t>EMILY DAYAN RIVERA RODRIGUEZ</t>
  </si>
  <si>
    <t>emilydayanriverarodriguez@gmail.com</t>
  </si>
  <si>
    <t>LIZETH ANDREA RODRIGUEZ FORERO</t>
  </si>
  <si>
    <t>lizandreitarofo25@gmail.com</t>
  </si>
  <si>
    <t>https://drive.google.com/drive/folders/1wbx803zkiRfqk5JlapRxvAoa_homkt5h?usp=sharing</t>
  </si>
  <si>
    <t>ASTRID SARAY ROJAS HERRERA</t>
  </si>
  <si>
    <t>rojassaray924@gmail.com</t>
  </si>
  <si>
    <t>Yeni Alexandra Herrera Salcedo</t>
  </si>
  <si>
    <t>yenialexandrah@gmail.com</t>
  </si>
  <si>
    <t>https://drive.google.com/drive/folders/1Vh0G4HiRX5RP0RTF8EUAQdea63gvLha8</t>
  </si>
  <si>
    <t>VALERIA KATHERINE ROMERO RIAÑO</t>
  </si>
  <si>
    <t>katheromero969@gmail.com</t>
  </si>
  <si>
    <t>Yury Andrea Riaño Osorio</t>
  </si>
  <si>
    <t>rianoyury6@gmail.com</t>
  </si>
  <si>
    <t>https://drive.google.com/drive/folders/1j3650YjM2Y5TS0UDuoxjXOwBhDTQe8oP</t>
  </si>
  <si>
    <t>PAULA GABRIELA SALCEDO ALGECIRA</t>
  </si>
  <si>
    <t>paulagabrielasalcedoo@gmail.com</t>
  </si>
  <si>
    <t>Ronal Yesid Salcedo mora</t>
  </si>
  <si>
    <t>Ronalsalcedo30@hotmail.com</t>
  </si>
  <si>
    <t>https://drive.google.com/drive/folders/1TzwQ2SSA3TydSVr1WssjlQcDBsLafHmB</t>
  </si>
  <si>
    <t>STEFANNY SOFIA SANCHEZ DIVANTOQUE</t>
  </si>
  <si>
    <t>stefannysanchez280810@gmail.com</t>
  </si>
  <si>
    <t>Fabiola Divantoque</t>
  </si>
  <si>
    <t>fabioladivantoque280817@gmail.com</t>
  </si>
  <si>
    <t>https://drive.google.com/drive/folders/1wC54RtvpM9wX_tOP9-eI1lrBujTnOzpU</t>
  </si>
  <si>
    <t>SHARA TEJEDOR DURANGO</t>
  </si>
  <si>
    <t>LUIS ALEJANDRO TELLEZ VANEGAS</t>
  </si>
  <si>
    <t>alejotv0106@gmail.com</t>
  </si>
  <si>
    <t>Claudia Andrea Vanegas Delgado</t>
  </si>
  <si>
    <t>andreavanegas0625@gmail.com</t>
  </si>
  <si>
    <t>https://drive.google.com/file/d/1ARo8EH7bx5Wg3GYfvi9Z99Z_mCB2B6Bo/view?usp=sharing</t>
  </si>
  <si>
    <t>JUAN SEBASTIAN TIGUAQUE CASTRO</t>
  </si>
  <si>
    <t>juantiguaque@gmail.com</t>
  </si>
  <si>
    <t>Viviana Andrea Castro</t>
  </si>
  <si>
    <t>viviana.castro0325@gmail.com</t>
  </si>
  <si>
    <t>https://drive.google.com/drive/folders/12tV5VcGzQWZJswhg6uJpLcFtA1Ko1roA?usp=sharing</t>
  </si>
  <si>
    <t>Mal creada la carpeta en el DRIVE</t>
  </si>
  <si>
    <t xml:space="preserve">Cambiar a Editor </t>
  </si>
  <si>
    <t>Dar acceso a la carpeta como editor</t>
  </si>
  <si>
    <t>Link mal creado</t>
  </si>
  <si>
    <t xml:space="preserve">Cambiar a compartir como editor </t>
  </si>
  <si>
    <t>Cambiar a compartir como editor</t>
  </si>
  <si>
    <t xml:space="preserve">Autorizar permiso </t>
  </si>
  <si>
    <t>Camabiar a compartir como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</si>
</sst>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d"/>
    <numFmt numFmtId="166" formatCode="ddd"/>
  </numFmts>
  <fonts count="60">
    <font>
      <sz val="12"/>
      <color rgb="FF000000"/>
      <name val="Calibri"/>
      <scheme val="minor"/>
    </font>
    <font>
      <sz val="9"/>
      <color rgb="FF000000"/>
      <name val="Quattrocento Sans"/>
    </font>
    <font>
      <sz val="12"/>
      <name val="Calibri"/>
      <family val="2"/>
    </font>
    <font>
      <b/>
      <sz val="10"/>
      <color theme="1"/>
      <name val="Quattrocento Sans"/>
    </font>
    <font>
      <b/>
      <sz val="8"/>
      <color rgb="FF2F5496"/>
      <name val="Quattrocento Sans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Quattrocento Sans"/>
    </font>
    <font>
      <sz val="8"/>
      <color rgb="FF000000"/>
      <name val="Quattrocento Sans"/>
    </font>
    <font>
      <b/>
      <sz val="8"/>
      <color theme="0"/>
      <name val="Quattrocento Sans"/>
    </font>
    <font>
      <sz val="11"/>
      <color rgb="FF000000"/>
      <name val="Arial Narrow"/>
      <family val="2"/>
    </font>
    <font>
      <b/>
      <sz val="8"/>
      <color rgb="FF000000"/>
      <name val="Calibri"/>
      <family val="2"/>
    </font>
    <font>
      <b/>
      <sz val="9"/>
      <color theme="1"/>
      <name val="Quattrocento Sans"/>
    </font>
    <font>
      <b/>
      <sz val="9"/>
      <color rgb="FFFF3300"/>
      <name val="Quattrocento Sans"/>
    </font>
    <font>
      <b/>
      <sz val="9"/>
      <color rgb="FF3F3F3F"/>
      <name val="Quattrocento Sans"/>
    </font>
    <font>
      <sz val="8"/>
      <color theme="1"/>
      <name val="Quattrocento Sans"/>
    </font>
    <font>
      <b/>
      <sz val="9"/>
      <color rgb="FFFFC000"/>
      <name val="Quattrocento Sans"/>
    </font>
    <font>
      <b/>
      <sz val="11"/>
      <color rgb="FF00B050"/>
      <name val="Quattrocento Sans"/>
    </font>
    <font>
      <b/>
      <sz val="9"/>
      <color rgb="FF7030A0"/>
      <name val="Quattrocento Sans"/>
    </font>
    <font>
      <b/>
      <sz val="11"/>
      <color rgb="FF7030A0"/>
      <name val="Quattrocento Sans"/>
    </font>
    <font>
      <b/>
      <sz val="9"/>
      <color rgb="FFFFFFFF"/>
      <name val="Quattrocento Sans"/>
    </font>
    <font>
      <b/>
      <sz val="8"/>
      <color theme="1"/>
      <name val="Quattrocento Sans"/>
    </font>
    <font>
      <b/>
      <sz val="8"/>
      <color rgb="FFFF0000"/>
      <name val="Quattrocento Sans"/>
    </font>
    <font>
      <sz val="8"/>
      <color rgb="FF2F5496"/>
      <name val="Quattrocento Sans"/>
    </font>
    <font>
      <b/>
      <sz val="7"/>
      <color rgb="FFFF0000"/>
      <name val="Quattrocento Sans"/>
    </font>
    <font>
      <b/>
      <sz val="12"/>
      <color theme="0"/>
      <name val="Calibri"/>
      <family val="2"/>
    </font>
    <font>
      <sz val="11"/>
      <color rgb="FF000000"/>
      <name val="Calibri"/>
      <family val="2"/>
    </font>
    <font>
      <sz val="8"/>
      <color theme="0"/>
      <name val="Quattrocento Sans"/>
    </font>
    <font>
      <sz val="12"/>
      <color theme="0"/>
      <name val="Calibri"/>
      <family val="2"/>
    </font>
    <font>
      <b/>
      <sz val="10"/>
      <color rgb="FF00B050"/>
      <name val="Quattrocento Sans"/>
    </font>
    <font>
      <b/>
      <sz val="10"/>
      <color rgb="FF00B0F0"/>
      <name val="Quattrocento Sans"/>
    </font>
    <font>
      <b/>
      <sz val="10"/>
      <color theme="7"/>
      <name val="Quattrocento Sans"/>
    </font>
    <font>
      <b/>
      <sz val="10"/>
      <color rgb="FFC00000"/>
      <name val="Quattrocento Sans"/>
    </font>
    <font>
      <b/>
      <sz val="10"/>
      <color rgb="FF7030A0"/>
      <name val="Quattrocento Sans"/>
    </font>
    <font>
      <b/>
      <sz val="10"/>
      <color rgb="FF13C5FD"/>
      <name val="Quattrocento Sans"/>
    </font>
    <font>
      <b/>
      <sz val="10"/>
      <color rgb="FFFF0066"/>
      <name val="Quattrocento Sans"/>
    </font>
    <font>
      <sz val="12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FFC000"/>
      <name val="Arial"/>
      <family val="2"/>
    </font>
    <font>
      <u/>
      <sz val="11"/>
      <color rgb="FFC00000"/>
      <name val="Arial"/>
      <family val="2"/>
    </font>
    <font>
      <sz val="11"/>
      <color rgb="FF7030A0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2F5496"/>
      <name val="Segoe UI"/>
      <family val="2"/>
    </font>
    <font>
      <b/>
      <u/>
      <sz val="10"/>
      <color rgb="FF2F5496"/>
      <name val="Segoe UI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563C1"/>
      <name val="Calibri"/>
      <family val="2"/>
      <scheme val="minor"/>
    </font>
    <font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C55A11"/>
        <bgColor rgb="FFC55A11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DDEBF7"/>
        <bgColor rgb="FFDDEBF7"/>
      </patternFill>
    </fill>
  </fills>
  <borders count="7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A5A5A5"/>
      </left>
      <right style="thin">
        <color rgb="FFBFBFB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A5A5A5"/>
      </left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 style="medium">
        <color rgb="FFA5A5A5"/>
      </right>
      <top/>
      <bottom style="thin">
        <color rgb="FFA5A5A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191">
    <xf numFmtId="0" fontId="0" fillId="0" borderId="0" xfId="0"/>
    <xf numFmtId="0" fontId="9" fillId="0" borderId="0" xfId="0" applyFont="1"/>
    <xf numFmtId="0" fontId="11" fillId="0" borderId="0" xfId="0" applyFont="1"/>
    <xf numFmtId="0" fontId="18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4" fontId="23" fillId="0" borderId="29" xfId="0" applyNumberFormat="1" applyFont="1" applyBorder="1" applyAlignment="1">
      <alignment horizontal="center" vertical="center"/>
    </xf>
    <xf numFmtId="0" fontId="22" fillId="11" borderId="29" xfId="0" applyFont="1" applyFill="1" applyBorder="1" applyAlignment="1">
      <alignment horizontal="center" vertical="center" wrapText="1"/>
    </xf>
    <xf numFmtId="14" fontId="23" fillId="0" borderId="3" xfId="0" applyNumberFormat="1" applyFont="1" applyBorder="1" applyAlignment="1">
      <alignment horizontal="center" vertical="center"/>
    </xf>
    <xf numFmtId="165" fontId="9" fillId="0" borderId="32" xfId="0" applyNumberFormat="1" applyFont="1" applyBorder="1" applyAlignment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wrapText="1"/>
    </xf>
    <xf numFmtId="0" fontId="4" fillId="3" borderId="29" xfId="0" applyFont="1" applyFill="1" applyBorder="1" applyAlignment="1">
      <alignment vertical="center" wrapText="1"/>
    </xf>
    <xf numFmtId="0" fontId="22" fillId="0" borderId="30" xfId="0" applyFont="1" applyBorder="1" applyAlignment="1">
      <alignment vertical="center" textRotation="255" wrapText="1"/>
    </xf>
    <xf numFmtId="0" fontId="25" fillId="0" borderId="35" xfId="0" applyFont="1" applyBorder="1" applyAlignment="1">
      <alignment vertical="center" textRotation="90" wrapText="1"/>
    </xf>
    <xf numFmtId="166" fontId="9" fillId="0" borderId="33" xfId="0" applyNumberFormat="1" applyFont="1" applyBorder="1" applyAlignment="1">
      <alignment horizontal="center" vertical="center" wrapText="1"/>
    </xf>
    <xf numFmtId="0" fontId="16" fillId="0" borderId="36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8" xfId="0" applyFont="1" applyBorder="1" applyAlignment="1">
      <alignment vertical="center" wrapText="1"/>
    </xf>
    <xf numFmtId="0" fontId="22" fillId="12" borderId="39" xfId="0" applyFont="1" applyFill="1" applyBorder="1" applyAlignment="1">
      <alignment horizontal="center" vertical="center"/>
    </xf>
    <xf numFmtId="0" fontId="22" fillId="12" borderId="40" xfId="0" applyFont="1" applyFill="1" applyBorder="1" applyAlignment="1">
      <alignment horizontal="center" vertical="center"/>
    </xf>
    <xf numFmtId="0" fontId="26" fillId="0" borderId="0" xfId="0" applyFont="1"/>
    <xf numFmtId="0" fontId="27" fillId="2" borderId="29" xfId="0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/>
    </xf>
    <xf numFmtId="0" fontId="27" fillId="0" borderId="41" xfId="0" applyFont="1" applyBorder="1" applyAlignment="1">
      <alignment horizontal="right"/>
    </xf>
    <xf numFmtId="0" fontId="27" fillId="0" borderId="29" xfId="0" applyFont="1" applyBorder="1"/>
    <xf numFmtId="0" fontId="27" fillId="0" borderId="5" xfId="0" applyFont="1" applyBorder="1"/>
    <xf numFmtId="0" fontId="27" fillId="0" borderId="5" xfId="0" applyFont="1" applyBorder="1" applyAlignment="1">
      <alignment horizontal="center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9" fontId="9" fillId="0" borderId="45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0" fontId="28" fillId="0" borderId="46" xfId="0" applyFont="1" applyBorder="1" applyAlignment="1">
      <alignment horizontal="center"/>
    </xf>
    <xf numFmtId="164" fontId="28" fillId="12" borderId="47" xfId="0" applyNumberFormat="1" applyFont="1" applyFill="1" applyBorder="1" applyAlignment="1">
      <alignment horizontal="center"/>
    </xf>
    <xf numFmtId="164" fontId="28" fillId="12" borderId="48" xfId="0" applyNumberFormat="1" applyFont="1" applyFill="1" applyBorder="1" applyAlignment="1">
      <alignment horizontal="center"/>
    </xf>
    <xf numFmtId="0" fontId="29" fillId="0" borderId="0" xfId="0" applyFont="1"/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9" fontId="9" fillId="0" borderId="51" xfId="0" applyNumberFormat="1" applyFont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40" fillId="0" borderId="0" xfId="0" applyFont="1"/>
    <xf numFmtId="0" fontId="41" fillId="0" borderId="0" xfId="0" applyFont="1"/>
    <xf numFmtId="0" fontId="39" fillId="8" borderId="29" xfId="0" applyFont="1" applyFill="1" applyBorder="1"/>
    <xf numFmtId="0" fontId="42" fillId="0" borderId="29" xfId="0" applyFont="1" applyBorder="1" applyAlignment="1">
      <alignment horizontal="center" vertical="center"/>
    </xf>
    <xf numFmtId="14" fontId="43" fillId="0" borderId="29" xfId="0" applyNumberFormat="1" applyFont="1" applyBorder="1" applyAlignment="1">
      <alignment horizontal="center" vertical="center"/>
    </xf>
    <xf numFmtId="14" fontId="44" fillId="0" borderId="29" xfId="0" applyNumberFormat="1" applyFont="1" applyBorder="1" applyAlignment="1">
      <alignment horizontal="center" vertical="center"/>
    </xf>
    <xf numFmtId="0" fontId="39" fillId="8" borderId="29" xfId="0" applyFont="1" applyFill="1" applyBorder="1" applyAlignment="1">
      <alignment horizontal="left" vertical="center"/>
    </xf>
    <xf numFmtId="0" fontId="45" fillId="0" borderId="29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27" fillId="0" borderId="0" xfId="0" applyFont="1"/>
    <xf numFmtId="0" fontId="37" fillId="0" borderId="0" xfId="0" applyFont="1" applyAlignment="1">
      <alignment horizontal="center" vertical="center"/>
    </xf>
    <xf numFmtId="0" fontId="49" fillId="0" borderId="0" xfId="0" applyFont="1"/>
    <xf numFmtId="0" fontId="48" fillId="0" borderId="0" xfId="0" applyFont="1" applyAlignment="1">
      <alignment horizontal="center"/>
    </xf>
    <xf numFmtId="0" fontId="48" fillId="0" borderId="59" xfId="0" applyFont="1" applyBorder="1"/>
    <xf numFmtId="0" fontId="48" fillId="0" borderId="60" xfId="0" applyFont="1" applyBorder="1" applyAlignment="1">
      <alignment horizontal="center"/>
    </xf>
    <xf numFmtId="0" fontId="48" fillId="0" borderId="61" xfId="0" applyFont="1" applyBorder="1" applyAlignment="1">
      <alignment horizontal="center"/>
    </xf>
    <xf numFmtId="0" fontId="48" fillId="0" borderId="29" xfId="0" applyFont="1" applyBorder="1"/>
    <xf numFmtId="0" fontId="48" fillId="0" borderId="63" xfId="0" applyFont="1" applyBorder="1"/>
    <xf numFmtId="0" fontId="48" fillId="0" borderId="66" xfId="0" applyFont="1" applyBorder="1"/>
    <xf numFmtId="0" fontId="48" fillId="0" borderId="67" xfId="0" applyFont="1" applyBorder="1"/>
    <xf numFmtId="0" fontId="48" fillId="0" borderId="0" xfId="0" applyFont="1"/>
    <xf numFmtId="0" fontId="4" fillId="3" borderId="58" xfId="0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/>
    </xf>
    <xf numFmtId="0" fontId="9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/>
    </xf>
    <xf numFmtId="0" fontId="9" fillId="2" borderId="56" xfId="0" applyFont="1" applyFill="1" applyBorder="1"/>
    <xf numFmtId="14" fontId="9" fillId="2" borderId="56" xfId="0" applyNumberFormat="1" applyFont="1" applyFill="1" applyBorder="1"/>
    <xf numFmtId="0" fontId="27" fillId="0" borderId="4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37" fillId="0" borderId="68" xfId="0" applyFont="1" applyBorder="1"/>
    <xf numFmtId="0" fontId="37" fillId="0" borderId="68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/>
    </xf>
    <xf numFmtId="0" fontId="27" fillId="0" borderId="70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59" fillId="15" borderId="68" xfId="0" applyFont="1" applyFill="1" applyBorder="1"/>
    <xf numFmtId="0" fontId="59" fillId="15" borderId="68" xfId="0" applyFont="1" applyFill="1" applyBorder="1" applyAlignment="1">
      <alignment horizontal="center"/>
    </xf>
    <xf numFmtId="0" fontId="58" fillId="15" borderId="68" xfId="0" applyFont="1" applyFill="1" applyBorder="1"/>
    <xf numFmtId="0" fontId="59" fillId="0" borderId="68" xfId="0" applyFont="1" applyBorder="1"/>
    <xf numFmtId="0" fontId="59" fillId="0" borderId="68" xfId="0" applyFont="1" applyBorder="1" applyAlignment="1">
      <alignment horizontal="center"/>
    </xf>
    <xf numFmtId="0" fontId="58" fillId="0" borderId="68" xfId="0" applyFont="1" applyBorder="1"/>
    <xf numFmtId="0" fontId="5" fillId="4" borderId="6" xfId="0" applyFont="1" applyFill="1" applyBorder="1" applyAlignment="1">
      <alignment horizontal="center" vertical="center"/>
    </xf>
    <xf numFmtId="0" fontId="2" fillId="0" borderId="7" xfId="0" applyFont="1" applyBorder="1" applyAlignment="1"/>
    <xf numFmtId="0" fontId="5" fillId="5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/>
    <xf numFmtId="0" fontId="6" fillId="4" borderId="16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8" fillId="6" borderId="9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8" xfId="0" applyFont="1" applyBorder="1" applyAlignment="1"/>
    <xf numFmtId="0" fontId="0" fillId="0" borderId="0" xfId="0" applyAlignment="1"/>
    <xf numFmtId="0" fontId="2" fillId="0" borderId="57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28" xfId="0" applyFont="1" applyBorder="1" applyAlignment="1"/>
    <xf numFmtId="0" fontId="12" fillId="5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2" fillId="0" borderId="17" xfId="0" applyFont="1" applyBorder="1" applyAlignment="1"/>
    <xf numFmtId="0" fontId="6" fillId="4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 vertical="center" wrapText="1"/>
    </xf>
    <xf numFmtId="0" fontId="2" fillId="0" borderId="19" xfId="0" applyFont="1" applyBorder="1" applyAlignment="1"/>
    <xf numFmtId="0" fontId="2" fillId="0" borderId="21" xfId="0" applyFont="1" applyBorder="1" applyAlignment="1"/>
    <xf numFmtId="0" fontId="10" fillId="0" borderId="0" xfId="0" applyFont="1" applyAlignment="1"/>
    <xf numFmtId="0" fontId="0" fillId="7" borderId="56" xfId="0" applyFont="1" applyFill="1" applyBorder="1" applyAlignment="1">
      <alignment horizontal="center"/>
    </xf>
    <xf numFmtId="0" fontId="2" fillId="0" borderId="56" xfId="0" applyFont="1" applyBorder="1" applyAlignment="1"/>
    <xf numFmtId="0" fontId="16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8" fillId="2" borderId="22" xfId="0" applyFont="1" applyFill="1" applyBorder="1" applyAlignment="1">
      <alignment horizontal="center" vertical="center"/>
    </xf>
    <xf numFmtId="0" fontId="2" fillId="0" borderId="24" xfId="0" applyFont="1" applyBorder="1" applyAlignment="1"/>
    <xf numFmtId="0" fontId="6" fillId="5" borderId="16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21" fillId="10" borderId="40" xfId="0" applyFont="1" applyFill="1" applyBorder="1" applyAlignment="1">
      <alignment horizontal="center" vertical="center"/>
    </xf>
    <xf numFmtId="0" fontId="2" fillId="0" borderId="34" xfId="0" applyFont="1" applyBorder="1" applyAlignment="1"/>
    <xf numFmtId="0" fontId="9" fillId="0" borderId="40" xfId="0" applyFont="1" applyBorder="1" applyAlignment="1">
      <alignment horizontal="center" vertical="center"/>
    </xf>
    <xf numFmtId="0" fontId="2" fillId="0" borderId="39" xfId="0" applyFont="1" applyBorder="1" applyAlignment="1"/>
    <xf numFmtId="0" fontId="22" fillId="10" borderId="34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2" fillId="0" borderId="53" xfId="0" applyFont="1" applyBorder="1" applyAlignment="1"/>
    <xf numFmtId="0" fontId="2" fillId="0" borderId="54" xfId="0" applyFont="1" applyBorder="1" applyAlignment="1"/>
    <xf numFmtId="0" fontId="22" fillId="0" borderId="55" xfId="0" applyFont="1" applyBorder="1" applyAlignment="1">
      <alignment horizontal="center" vertical="center" wrapText="1"/>
    </xf>
    <xf numFmtId="0" fontId="2" fillId="0" borderId="49" xfId="0" applyFont="1" applyBorder="1" applyAlignment="1"/>
    <xf numFmtId="0" fontId="35" fillId="3" borderId="52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4" fillId="3" borderId="5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31" fillId="3" borderId="52" xfId="0" applyFont="1" applyFill="1" applyBorder="1" applyAlignment="1">
      <alignment horizontal="center" vertical="center"/>
    </xf>
    <xf numFmtId="0" fontId="32" fillId="3" borderId="52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/>
    </xf>
    <xf numFmtId="0" fontId="2" fillId="0" borderId="15" xfId="0" applyFont="1" applyBorder="1" applyAlignment="1"/>
    <xf numFmtId="0" fontId="13" fillId="8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/>
    <xf numFmtId="0" fontId="14" fillId="0" borderId="3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5" fillId="4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wrapText="1"/>
    </xf>
    <xf numFmtId="0" fontId="6" fillId="4" borderId="20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left" wrapText="1"/>
    </xf>
    <xf numFmtId="0" fontId="17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30" fillId="3" borderId="52" xfId="0" applyFont="1" applyFill="1" applyBorder="1" applyAlignment="1">
      <alignment horizontal="center" vertical="center"/>
    </xf>
    <xf numFmtId="0" fontId="39" fillId="8" borderId="3" xfId="0" applyFont="1" applyFill="1" applyBorder="1" applyAlignment="1">
      <alignment horizontal="left" vertical="center"/>
    </xf>
    <xf numFmtId="0" fontId="55" fillId="0" borderId="74" xfId="1" applyBorder="1" applyAlignment="1">
      <alignment horizontal="center" vertical="center"/>
    </xf>
    <xf numFmtId="0" fontId="55" fillId="0" borderId="69" xfId="1" applyBorder="1" applyAlignment="1">
      <alignment horizontal="center" vertical="center"/>
    </xf>
    <xf numFmtId="0" fontId="55" fillId="0" borderId="75" xfId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43" fillId="0" borderId="77" xfId="0" applyFont="1" applyBorder="1" applyAlignment="1">
      <alignment horizontal="center" vertical="center"/>
    </xf>
    <xf numFmtId="0" fontId="43" fillId="0" borderId="78" xfId="0" applyFont="1" applyBorder="1" applyAlignment="1">
      <alignment horizontal="center" vertical="center"/>
    </xf>
    <xf numFmtId="0" fontId="39" fillId="8" borderId="3" xfId="0" applyFont="1" applyFill="1" applyBorder="1" applyAlignment="1">
      <alignment vertical="center"/>
    </xf>
    <xf numFmtId="0" fontId="55" fillId="0" borderId="3" xfId="1" applyBorder="1" applyAlignment="1">
      <alignment horizontal="left"/>
    </xf>
    <xf numFmtId="0" fontId="57" fillId="0" borderId="74" xfId="0" applyFont="1" applyBorder="1" applyAlignment="1">
      <alignment horizontal="center" vertical="center"/>
    </xf>
    <xf numFmtId="0" fontId="57" fillId="0" borderId="69" xfId="0" applyFont="1" applyBorder="1" applyAlignment="1">
      <alignment horizontal="center" vertical="center"/>
    </xf>
    <xf numFmtId="0" fontId="57" fillId="0" borderId="75" xfId="0" applyFont="1" applyBorder="1" applyAlignment="1">
      <alignment horizontal="center" vertical="center"/>
    </xf>
    <xf numFmtId="0" fontId="38" fillId="13" borderId="56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2" fillId="0" borderId="71" xfId="0" applyFont="1" applyBorder="1" applyAlignment="1">
      <alignment horizontal="center" vertical="center"/>
    </xf>
    <xf numFmtId="0" fontId="42" fillId="0" borderId="72" xfId="0" applyFont="1" applyBorder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48" fillId="0" borderId="62" xfId="0" applyFont="1" applyBorder="1" applyAlignment="1">
      <alignment horizontal="center" vertical="center" wrapText="1"/>
    </xf>
    <xf numFmtId="0" fontId="2" fillId="0" borderId="64" xfId="0" applyFont="1" applyBorder="1" applyAlignment="1"/>
    <xf numFmtId="0" fontId="2" fillId="0" borderId="65" xfId="0" applyFont="1" applyBorder="1" applyAlignment="1"/>
    <xf numFmtId="0" fontId="50" fillId="14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83"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E75B5"/>
      </font>
      <fill>
        <patternFill patternType="solid">
          <fgColor rgb="FFDEEAF6"/>
          <bgColor rgb="FFDEEAF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2F5496"/>
      </font>
      <fill>
        <patternFill patternType="solid">
          <fgColor rgb="FFD9E2F3"/>
          <bgColor rgb="FFD9E2F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2F2F2"/>
      </font>
      <fill>
        <patternFill patternType="none"/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2F2F2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E598"/>
          <bgColor rgb="FFFFE598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DAC1ED"/>
          <bgColor rgb="FFDAC1ED"/>
        </patternFill>
      </fill>
    </dxf>
    <dxf>
      <font>
        <color rgb="FFFFFFFF"/>
      </font>
      <fill>
        <patternFill patternType="solid">
          <fgColor rgb="FF00B0F0"/>
          <bgColor rgb="FF00B0F0"/>
        </patternFill>
      </fill>
      <border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font>
        <color rgb="FFFFFFFF"/>
      </font>
      <fill>
        <patternFill patternType="solid">
          <fgColor rgb="FF99CC00"/>
          <bgColor rgb="FF99CC00"/>
        </patternFill>
      </fill>
      <border>
        <left style="thin">
          <color rgb="FFA8D08D"/>
        </left>
        <right style="thin">
          <color rgb="FFA8D08D"/>
        </right>
        <top style="thin">
          <color rgb="FFA8D08D"/>
        </top>
        <bottom style="thin">
          <color rgb="FFA8D08D"/>
        </bottom>
      </border>
    </dxf>
    <dxf>
      <font>
        <color rgb="FFFFFFFF"/>
      </font>
      <fill>
        <patternFill patternType="solid">
          <fgColor rgb="FFFF3300"/>
          <bgColor rgb="FFFF33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ont>
        <color rgb="FFD8D8D8"/>
      </font>
      <fill>
        <patternFill patternType="solid">
          <fgColor rgb="FFFFFFFF"/>
          <bgColor rgb="FFFFFFFF"/>
        </patternFill>
      </fill>
    </dxf>
    <dxf>
      <font>
        <color rgb="FF00B05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9CC2E5"/>
          <bgColor rgb="FF9CC2E5"/>
        </patternFill>
      </fill>
    </dxf>
    <dxf>
      <font>
        <color rgb="FFFF00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FC8F68"/>
          <bgColor rgb="FFFC8F68"/>
        </patternFill>
      </fill>
    </dxf>
    <dxf>
      <font>
        <color rgb="FFFF0066"/>
      </font>
      <fill>
        <patternFill patternType="solid">
          <fgColor rgb="FFDAC1ED"/>
          <bgColor rgb="FFDAC1ED"/>
        </patternFill>
      </fill>
    </dxf>
    <dxf>
      <fill>
        <patternFill patternType="none"/>
      </fill>
    </dxf>
    <dxf>
      <font>
        <color rgb="FF0070C0"/>
      </font>
      <fill>
        <patternFill patternType="solid">
          <fgColor theme="0"/>
          <bgColor theme="0"/>
        </patternFill>
      </fill>
    </dxf>
    <dxf>
      <font>
        <color rgb="FFC0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ASE DE DATOS-style" pivot="0" count="4" xr9:uid="{00000000-0011-0000-FFFF-FFFF00000000}">
      <tableStyleElement type="wholeTable" size="0" dxfId="82"/>
      <tableStyleElement type="headerRow" dxfId="81"/>
      <tableStyleElement type="firstRowStripe" dxfId="80"/>
      <tableStyleElement type="secondRowStripe" dxfId="7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466725" cy="447675"/>
    <xdr:pic>
      <xdr:nvPicPr>
        <xdr:cNvPr id="2" name="image1.jpg" descr="logo_membre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9:K49">
  <tableColumns count="11">
    <tableColumn id="1" xr3:uid="{00000000-0010-0000-0000-000001000000}" name="No"/>
    <tableColumn id="2" xr3:uid="{00000000-0010-0000-0000-000002000000}" name="Nombre"/>
    <tableColumn id="3" xr3:uid="{00000000-0010-0000-0000-000003000000}" name="Tipo de documento"/>
    <tableColumn id="4" xr3:uid="{00000000-0010-0000-0000-000004000000}" name="No de documento de identidad"/>
    <tableColumn id="5" xr3:uid="{00000000-0010-0000-0000-000005000000}" name="Correo electrónico @soy.sena.edu.co"/>
    <tableColumn id="6" xr3:uid="{00000000-0010-0000-0000-000006000000}" name="Correo  electrónico alterno"/>
    <tableColumn id="7" xr3:uid="{00000000-0010-0000-0000-000007000000}" name="Teléfono de contacto"/>
    <tableColumn id="8" xr3:uid="{00000000-0010-0000-0000-000008000000}" name="Nombres completos del acudiente"/>
    <tableColumn id="9" xr3:uid="{00000000-0010-0000-0000-000009000000}" name="Correo_Acudiente"/>
    <tableColumn id="10" xr3:uid="{00000000-0010-0000-0000-00000A000000}" name="Teléfono de Acudiente"/>
    <tableColumn id="11" xr3:uid="{00000000-0010-0000-0000-00000B000000}" name="ID_Drive"/>
  </tableColumns>
  <tableStyleInfo name="BASE 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ena4-my.sharepoint.com/shared?id=%2Fpersonal%2Fapuentes%5Fsena%5Fedu%5Fco%2FDocuments%2FA%C3%91O%202026%2FSUPERVISION%20CUENTAS%20DE%20COBRO%20ARTICULACION%202026%2FCARLOS%20ALBERTO%20SALCEDO%20DURAN%2FPORTAFOLIO%5FDE%5FEVIDENCIAS%5FCARLOS%5FALBERTO%5FSALCEDO%5FDURAN%2FGRUPO%20%2D%203453742%20%2D%20COLEGIO%20TOMAS%20CIPRIANO&amp;viewid=f99452b8%2D8171%2D424a%2D90f1%2D23fef74632a4" TargetMode="External"/><Relationship Id="rId1" Type="http://schemas.openxmlformats.org/officeDocument/2006/relationships/hyperlink" Target="mailto:ioviedoc@sena.edu.co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Y251"/>
  <sheetViews>
    <sheetView showGridLines="0" topLeftCell="A10" workbookViewId="0">
      <selection activeCell="D15" sqref="D15"/>
    </sheetView>
  </sheetViews>
  <sheetFormatPr baseColWidth="10" defaultColWidth="11.25" defaultRowHeight="15" customHeight="1"/>
  <cols>
    <col min="1" max="1" width="3.625" customWidth="1"/>
    <col min="2" max="2" width="5.75" customWidth="1"/>
    <col min="3" max="3" width="11.5" customWidth="1"/>
    <col min="4" max="4" width="38.625" customWidth="1"/>
    <col min="5" max="5" width="12.75" customWidth="1"/>
    <col min="6" max="6" width="20.5" customWidth="1"/>
    <col min="7" max="14" width="3.375" customWidth="1"/>
    <col min="15" max="15" width="4" customWidth="1"/>
    <col min="16" max="101" width="3.25" customWidth="1"/>
    <col min="102" max="103" width="3.5" customWidth="1"/>
    <col min="104" max="105" width="3.625" customWidth="1"/>
    <col min="106" max="125" width="3.5" customWidth="1"/>
    <col min="126" max="127" width="6" customWidth="1"/>
    <col min="129" max="129" width="67" customWidth="1"/>
  </cols>
  <sheetData>
    <row r="1" spans="1:129" ht="24.75" customHeight="1">
      <c r="A1" s="162"/>
      <c r="B1" s="163"/>
      <c r="C1" s="166" t="s">
        <v>0</v>
      </c>
      <c r="D1" s="112"/>
      <c r="E1" s="112"/>
      <c r="F1" s="163"/>
      <c r="G1" s="142" t="s">
        <v>1</v>
      </c>
      <c r="H1" s="96"/>
      <c r="I1" s="96"/>
      <c r="J1" s="96"/>
      <c r="K1" s="96"/>
      <c r="L1" s="96"/>
      <c r="M1" s="96"/>
      <c r="N1" s="96"/>
      <c r="O1" s="96"/>
      <c r="P1" s="149"/>
      <c r="Q1" s="96"/>
      <c r="R1" s="96"/>
      <c r="S1" s="146"/>
      <c r="T1" s="150"/>
      <c r="U1" s="91"/>
      <c r="V1" s="91"/>
      <c r="W1" s="91"/>
      <c r="X1" s="151"/>
      <c r="Y1" s="91"/>
      <c r="Z1" s="91"/>
      <c r="AA1" s="91"/>
      <c r="AB1" s="150"/>
      <c r="AC1" s="91"/>
      <c r="AD1" s="91"/>
      <c r="AE1" s="91"/>
      <c r="AF1" s="91"/>
      <c r="AG1" s="91"/>
      <c r="AH1" s="91"/>
      <c r="AI1" s="91"/>
      <c r="AJ1" s="91"/>
      <c r="AK1" s="94"/>
      <c r="AL1" s="90"/>
      <c r="AM1" s="91"/>
      <c r="AN1" s="91"/>
      <c r="AO1" s="91"/>
      <c r="AP1" s="91"/>
      <c r="AQ1" s="91"/>
      <c r="AR1" s="91"/>
      <c r="AS1" s="91"/>
      <c r="AT1" s="91"/>
      <c r="AU1" s="92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3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4"/>
      <c r="CS1" s="97" t="s">
        <v>2</v>
      </c>
      <c r="CT1" s="98"/>
      <c r="CU1" s="98"/>
      <c r="CV1" s="98"/>
      <c r="CW1" s="99"/>
      <c r="CX1" s="1"/>
      <c r="CY1" s="114" t="s">
        <v>3</v>
      </c>
      <c r="CZ1" s="101"/>
      <c r="DA1" s="101"/>
      <c r="DB1" s="101"/>
      <c r="DC1" s="101"/>
      <c r="DD1" s="101"/>
      <c r="DE1" s="101"/>
      <c r="DF1" s="101"/>
      <c r="DG1" s="101"/>
      <c r="DH1" s="1"/>
      <c r="DI1" s="1"/>
      <c r="DJ1" s="1"/>
      <c r="DK1" s="1"/>
      <c r="DL1" s="1"/>
      <c r="DM1" s="2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9" ht="16.5">
      <c r="A2" s="164"/>
      <c r="B2" s="165"/>
      <c r="C2" s="164"/>
      <c r="D2" s="144"/>
      <c r="E2" s="144"/>
      <c r="F2" s="165"/>
      <c r="G2" s="142" t="s">
        <v>4</v>
      </c>
      <c r="H2" s="96"/>
      <c r="I2" s="96"/>
      <c r="J2" s="96"/>
      <c r="K2" s="96"/>
      <c r="L2" s="96"/>
      <c r="M2" s="96"/>
      <c r="N2" s="96"/>
      <c r="O2" s="96"/>
      <c r="P2" s="143"/>
      <c r="Q2" s="144"/>
      <c r="R2" s="144"/>
      <c r="S2" s="144"/>
      <c r="T2" s="106"/>
      <c r="U2" s="96"/>
      <c r="V2" s="96"/>
      <c r="W2" s="108"/>
      <c r="X2" s="110"/>
      <c r="Y2" s="96"/>
      <c r="Z2" s="96"/>
      <c r="AA2" s="96"/>
      <c r="AB2" s="152"/>
      <c r="AC2" s="96"/>
      <c r="AD2" s="96"/>
      <c r="AE2" s="96"/>
      <c r="AF2" s="96"/>
      <c r="AG2" s="96"/>
      <c r="AH2" s="96"/>
      <c r="AI2" s="96"/>
      <c r="AJ2" s="96"/>
      <c r="AK2" s="108"/>
      <c r="AL2" s="110"/>
      <c r="AM2" s="96"/>
      <c r="AN2" s="96"/>
      <c r="AO2" s="96"/>
      <c r="AP2" s="96"/>
      <c r="AQ2" s="96"/>
      <c r="AR2" s="96"/>
      <c r="AS2" s="96"/>
      <c r="AT2" s="96"/>
      <c r="AU2" s="10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107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108"/>
      <c r="CS2" s="100"/>
      <c r="CT2" s="101"/>
      <c r="CU2" s="101"/>
      <c r="CV2" s="101"/>
      <c r="CW2" s="102"/>
      <c r="CX2" s="1"/>
      <c r="CY2" s="115">
        <f>COUNTA('BASE DE DATOS'!B10:B49)</f>
        <v>38</v>
      </c>
      <c r="CZ2" s="116"/>
      <c r="DA2" s="116"/>
      <c r="DB2" s="116"/>
      <c r="DC2" s="116"/>
      <c r="DD2" s="116"/>
      <c r="DE2" s="116"/>
      <c r="DF2" s="116"/>
      <c r="DG2" s="116"/>
      <c r="DH2" s="1"/>
      <c r="DI2" s="1"/>
      <c r="DJ2" s="1"/>
      <c r="DK2" s="1"/>
      <c r="DL2" s="1"/>
      <c r="DM2" s="2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9" ht="16.5">
      <c r="A3" s="145" t="s">
        <v>5</v>
      </c>
      <c r="B3" s="96"/>
      <c r="C3" s="146"/>
      <c r="D3" s="147" t="s">
        <v>6</v>
      </c>
      <c r="E3" s="96"/>
      <c r="F3" s="146"/>
      <c r="G3" s="154" t="s">
        <v>7</v>
      </c>
      <c r="H3" s="96"/>
      <c r="I3" s="96"/>
      <c r="J3" s="96"/>
      <c r="K3" s="96"/>
      <c r="L3" s="96"/>
      <c r="M3" s="96"/>
      <c r="N3" s="96"/>
      <c r="O3" s="96"/>
      <c r="P3" s="148"/>
      <c r="Q3" s="96"/>
      <c r="R3" s="96"/>
      <c r="S3" s="96"/>
      <c r="T3" s="137"/>
      <c r="U3" s="96"/>
      <c r="V3" s="96"/>
      <c r="W3" s="108"/>
      <c r="X3" s="138"/>
      <c r="Y3" s="96"/>
      <c r="Z3" s="96"/>
      <c r="AA3" s="96"/>
      <c r="AB3" s="137"/>
      <c r="AC3" s="96"/>
      <c r="AD3" s="96"/>
      <c r="AE3" s="96"/>
      <c r="AF3" s="96"/>
      <c r="AG3" s="96"/>
      <c r="AH3" s="96"/>
      <c r="AI3" s="96"/>
      <c r="AJ3" s="96"/>
      <c r="AK3" s="108"/>
      <c r="AL3" s="95"/>
      <c r="AM3" s="96"/>
      <c r="AN3" s="96"/>
      <c r="AO3" s="96"/>
      <c r="AP3" s="96"/>
      <c r="AQ3" s="96"/>
      <c r="AR3" s="96"/>
      <c r="AS3" s="96"/>
      <c r="AT3" s="96"/>
      <c r="AU3" s="121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109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108"/>
      <c r="CS3" s="100"/>
      <c r="CT3" s="101"/>
      <c r="CU3" s="101"/>
      <c r="CV3" s="101"/>
      <c r="CW3" s="102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2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9" ht="15.75">
      <c r="A4" s="145" t="s">
        <v>8</v>
      </c>
      <c r="B4" s="96"/>
      <c r="C4" s="146"/>
      <c r="D4" s="153" t="s">
        <v>9</v>
      </c>
      <c r="E4" s="96"/>
      <c r="F4" s="146"/>
      <c r="G4" s="155" t="s">
        <v>10</v>
      </c>
      <c r="H4" s="112"/>
      <c r="I4" s="112"/>
      <c r="J4" s="112"/>
      <c r="K4" s="112"/>
      <c r="L4" s="112"/>
      <c r="M4" s="112"/>
      <c r="N4" s="112"/>
      <c r="O4" s="112"/>
      <c r="P4" s="157"/>
      <c r="Q4" s="112"/>
      <c r="R4" s="112"/>
      <c r="S4" s="112"/>
      <c r="T4" s="158"/>
      <c r="U4" s="112"/>
      <c r="V4" s="112"/>
      <c r="W4" s="113"/>
      <c r="X4" s="159"/>
      <c r="Y4" s="112"/>
      <c r="Z4" s="112"/>
      <c r="AA4" s="112"/>
      <c r="AB4" s="160"/>
      <c r="AC4" s="112"/>
      <c r="AD4" s="112"/>
      <c r="AE4" s="112"/>
      <c r="AF4" s="112"/>
      <c r="AG4" s="112"/>
      <c r="AH4" s="112"/>
      <c r="AI4" s="112"/>
      <c r="AJ4" s="112"/>
      <c r="AK4" s="113"/>
      <c r="AL4" s="111"/>
      <c r="AM4" s="112"/>
      <c r="AN4" s="112"/>
      <c r="AO4" s="112"/>
      <c r="AP4" s="112"/>
      <c r="AQ4" s="112"/>
      <c r="AR4" s="112"/>
      <c r="AS4" s="112"/>
      <c r="AT4" s="113"/>
      <c r="AU4" s="12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23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2"/>
      <c r="CQ4" s="112"/>
      <c r="CR4" s="113"/>
      <c r="CS4" s="100"/>
      <c r="CT4" s="101"/>
      <c r="CU4" s="101"/>
      <c r="CV4" s="101"/>
      <c r="CW4" s="102"/>
      <c r="CX4" s="1"/>
      <c r="CY4" s="117" t="s">
        <v>11</v>
      </c>
      <c r="CZ4" s="118"/>
      <c r="DA4" s="119" t="s">
        <v>12</v>
      </c>
      <c r="DB4" s="120"/>
      <c r="DC4" s="120"/>
      <c r="DD4" s="120"/>
      <c r="DE4" s="120"/>
      <c r="DF4" s="120"/>
      <c r="DG4" s="118"/>
      <c r="DH4" s="1"/>
      <c r="DI4" s="1"/>
      <c r="DJ4" s="117" t="s">
        <v>13</v>
      </c>
      <c r="DK4" s="118"/>
      <c r="DL4" s="119" t="s">
        <v>14</v>
      </c>
      <c r="DM4" s="120"/>
      <c r="DN4" s="120"/>
      <c r="DO4" s="120"/>
      <c r="DP4" s="120"/>
      <c r="DQ4" s="120"/>
      <c r="DR4" s="118"/>
      <c r="DS4" s="1"/>
      <c r="DT4" s="1"/>
      <c r="DU4" s="1"/>
      <c r="DV4" s="1"/>
      <c r="DW4" s="1"/>
    </row>
    <row r="5" spans="1:129" ht="15.75">
      <c r="A5" s="145" t="s">
        <v>15</v>
      </c>
      <c r="B5" s="96"/>
      <c r="C5" s="146"/>
      <c r="D5" s="161" t="str">
        <f>'BASE DE DATOS'!C7</f>
        <v>COLEGIO TOMAS CIPRIANO DE MOSQUERA (IED)</v>
      </c>
      <c r="E5" s="96"/>
      <c r="F5" s="146"/>
      <c r="G5" s="156"/>
      <c r="H5" s="116"/>
      <c r="I5" s="116"/>
      <c r="J5" s="116"/>
      <c r="K5" s="116"/>
      <c r="L5" s="116"/>
      <c r="M5" s="116"/>
      <c r="N5" s="116"/>
      <c r="O5" s="116"/>
      <c r="P5" s="103"/>
      <c r="Q5" s="104"/>
      <c r="R5" s="104"/>
      <c r="S5" s="104"/>
      <c r="T5" s="103"/>
      <c r="U5" s="104"/>
      <c r="V5" s="104"/>
      <c r="W5" s="105"/>
      <c r="X5" s="103"/>
      <c r="Y5" s="104"/>
      <c r="Z5" s="104"/>
      <c r="AA5" s="104"/>
      <c r="AB5" s="103"/>
      <c r="AC5" s="104"/>
      <c r="AD5" s="104"/>
      <c r="AE5" s="104"/>
      <c r="AF5" s="104"/>
      <c r="AG5" s="104"/>
      <c r="AH5" s="104"/>
      <c r="AI5" s="104"/>
      <c r="AJ5" s="104"/>
      <c r="AK5" s="105"/>
      <c r="AL5" s="103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3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5"/>
      <c r="CS5" s="103"/>
      <c r="CT5" s="104"/>
      <c r="CU5" s="104"/>
      <c r="CV5" s="104"/>
      <c r="CW5" s="105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9" ht="15.75">
      <c r="A6" s="145" t="s">
        <v>16</v>
      </c>
      <c r="B6" s="96"/>
      <c r="C6" s="146"/>
      <c r="D6" s="3">
        <f>'BASE DE DATOS'!C4</f>
        <v>3458742</v>
      </c>
      <c r="E6" s="4" t="s">
        <v>17</v>
      </c>
      <c r="F6" s="5">
        <f>'BASE DE DATOS'!G7</f>
        <v>10</v>
      </c>
      <c r="G6" s="167" t="str">
        <f>CY1 &amp; " " &amp; CY2</f>
        <v>TOTAL APRENDICES MATRICULADOS: 38</v>
      </c>
      <c r="H6" s="112"/>
      <c r="I6" s="112"/>
      <c r="J6" s="112"/>
      <c r="K6" s="112"/>
      <c r="L6" s="112"/>
      <c r="M6" s="112"/>
      <c r="N6" s="112"/>
      <c r="O6" s="163"/>
      <c r="P6" s="6" t="str">
        <f t="shared" ref="P6:CW6" si="0">TEXT(P7,"MMM")</f>
        <v>mar</v>
      </c>
      <c r="Q6" s="7" t="str">
        <f t="shared" si="0"/>
        <v>mar</v>
      </c>
      <c r="R6" s="7" t="str">
        <f t="shared" si="0"/>
        <v>mar</v>
      </c>
      <c r="S6" s="7" t="str">
        <f t="shared" si="0"/>
        <v>mar</v>
      </c>
      <c r="T6" s="7" t="str">
        <f t="shared" si="0"/>
        <v>abr</v>
      </c>
      <c r="U6" s="7" t="str">
        <f t="shared" si="0"/>
        <v>abr</v>
      </c>
      <c r="V6" s="7" t="str">
        <f t="shared" si="0"/>
        <v>abr</v>
      </c>
      <c r="W6" s="7" t="str">
        <f t="shared" si="0"/>
        <v>abr</v>
      </c>
      <c r="X6" s="7" t="str">
        <f t="shared" si="0"/>
        <v>abr</v>
      </c>
      <c r="Y6" s="7" t="str">
        <f t="shared" si="0"/>
        <v>abr</v>
      </c>
      <c r="Z6" s="7" t="str">
        <f t="shared" si="0"/>
        <v>abr</v>
      </c>
      <c r="AA6" s="7" t="str">
        <f t="shared" si="0"/>
        <v>abr</v>
      </c>
      <c r="AB6" s="7" t="str">
        <f t="shared" si="0"/>
        <v>may</v>
      </c>
      <c r="AC6" s="7" t="str">
        <f t="shared" si="0"/>
        <v>may</v>
      </c>
      <c r="AD6" s="7" t="str">
        <f t="shared" si="0"/>
        <v>may</v>
      </c>
      <c r="AE6" s="7" t="str">
        <f t="shared" si="0"/>
        <v>may</v>
      </c>
      <c r="AF6" s="7" t="str">
        <f t="shared" si="0"/>
        <v>may</v>
      </c>
      <c r="AG6" s="7" t="str">
        <f t="shared" si="0"/>
        <v>may</v>
      </c>
      <c r="AH6" s="7" t="str">
        <f t="shared" si="0"/>
        <v>may</v>
      </c>
      <c r="AI6" s="7" t="str">
        <f t="shared" si="0"/>
        <v>may</v>
      </c>
      <c r="AJ6" s="7" t="str">
        <f t="shared" si="0"/>
        <v>may</v>
      </c>
      <c r="AK6" s="7" t="str">
        <f t="shared" si="0"/>
        <v>may</v>
      </c>
      <c r="AL6" s="7" t="str">
        <f t="shared" si="0"/>
        <v>jun</v>
      </c>
      <c r="AM6" s="7" t="str">
        <f t="shared" si="0"/>
        <v>jun</v>
      </c>
      <c r="AN6" s="7" t="str">
        <f t="shared" si="0"/>
        <v>jun</v>
      </c>
      <c r="AO6" s="7" t="str">
        <f t="shared" si="0"/>
        <v>jun</v>
      </c>
      <c r="AP6" s="7" t="str">
        <f t="shared" si="0"/>
        <v>jun</v>
      </c>
      <c r="AQ6" s="7" t="str">
        <f t="shared" si="0"/>
        <v>jun</v>
      </c>
      <c r="AR6" s="7" t="str">
        <f t="shared" si="0"/>
        <v>jun</v>
      </c>
      <c r="AS6" s="7" t="str">
        <f t="shared" si="0"/>
        <v>jun</v>
      </c>
      <c r="AT6" s="7" t="str">
        <f t="shared" si="0"/>
        <v>jul</v>
      </c>
      <c r="AU6" s="7" t="str">
        <f t="shared" si="0"/>
        <v>jul</v>
      </c>
      <c r="AV6" s="7" t="str">
        <f t="shared" si="0"/>
        <v>jul</v>
      </c>
      <c r="AW6" s="7" t="str">
        <f t="shared" si="0"/>
        <v>jul</v>
      </c>
      <c r="AX6" s="7" t="str">
        <f t="shared" si="0"/>
        <v>jul</v>
      </c>
      <c r="AY6" s="7" t="str">
        <f t="shared" si="0"/>
        <v>jul</v>
      </c>
      <c r="AZ6" s="7" t="str">
        <f t="shared" si="0"/>
        <v>jul</v>
      </c>
      <c r="BA6" s="7" t="str">
        <f t="shared" si="0"/>
        <v>jul</v>
      </c>
      <c r="BB6" s="7" t="str">
        <f t="shared" si="0"/>
        <v>jul</v>
      </c>
      <c r="BC6" s="7" t="str">
        <f t="shared" si="0"/>
        <v>ago</v>
      </c>
      <c r="BD6" s="7" t="str">
        <f t="shared" si="0"/>
        <v>ago</v>
      </c>
      <c r="BE6" s="7" t="str">
        <f t="shared" si="0"/>
        <v>ago</v>
      </c>
      <c r="BF6" s="7" t="str">
        <f t="shared" si="0"/>
        <v>ago</v>
      </c>
      <c r="BG6" s="7" t="str">
        <f t="shared" si="0"/>
        <v>ago</v>
      </c>
      <c r="BH6" s="7" t="str">
        <f t="shared" si="0"/>
        <v>ago</v>
      </c>
      <c r="BI6" s="7" t="str">
        <f t="shared" si="0"/>
        <v>ago</v>
      </c>
      <c r="BJ6" s="7" t="str">
        <f t="shared" si="0"/>
        <v>ago</v>
      </c>
      <c r="BK6" s="7" t="str">
        <f t="shared" si="0"/>
        <v>ago</v>
      </c>
      <c r="BL6" s="7" t="str">
        <f t="shared" si="0"/>
        <v>sep</v>
      </c>
      <c r="BM6" s="7" t="str">
        <f t="shared" si="0"/>
        <v>sep</v>
      </c>
      <c r="BN6" s="7" t="str">
        <f t="shared" si="0"/>
        <v>sep</v>
      </c>
      <c r="BO6" s="7" t="str">
        <f t="shared" si="0"/>
        <v>sep</v>
      </c>
      <c r="BP6" s="7" t="str">
        <f t="shared" si="0"/>
        <v>sep</v>
      </c>
      <c r="BQ6" s="7" t="str">
        <f t="shared" si="0"/>
        <v>sep</v>
      </c>
      <c r="BR6" s="7" t="str">
        <f t="shared" si="0"/>
        <v>sep</v>
      </c>
      <c r="BS6" s="7" t="str">
        <f t="shared" si="0"/>
        <v>sep</v>
      </c>
      <c r="BT6" s="7" t="str">
        <f t="shared" si="0"/>
        <v>oct</v>
      </c>
      <c r="BU6" s="7" t="str">
        <f t="shared" si="0"/>
        <v>oct</v>
      </c>
      <c r="BV6" s="7" t="str">
        <f t="shared" si="0"/>
        <v>oct</v>
      </c>
      <c r="BW6" s="7" t="str">
        <f t="shared" si="0"/>
        <v>oct</v>
      </c>
      <c r="BX6" s="7" t="str">
        <f t="shared" si="0"/>
        <v>oct</v>
      </c>
      <c r="BY6" s="7" t="str">
        <f t="shared" si="0"/>
        <v>oct</v>
      </c>
      <c r="BZ6" s="7" t="str">
        <f t="shared" si="0"/>
        <v>oct</v>
      </c>
      <c r="CA6" s="7" t="str">
        <f t="shared" si="0"/>
        <v>oct</v>
      </c>
      <c r="CB6" s="7" t="str">
        <f t="shared" si="0"/>
        <v>oct</v>
      </c>
      <c r="CC6" s="7" t="str">
        <f t="shared" si="0"/>
        <v>oct</v>
      </c>
      <c r="CD6" s="7" t="str">
        <f t="shared" si="0"/>
        <v>nov</v>
      </c>
      <c r="CE6" s="7" t="str">
        <f t="shared" si="0"/>
        <v>nov</v>
      </c>
      <c r="CF6" s="7" t="str">
        <f t="shared" si="0"/>
        <v>nov</v>
      </c>
      <c r="CG6" s="7" t="str">
        <f t="shared" si="0"/>
        <v>nov</v>
      </c>
      <c r="CH6" s="7" t="str">
        <f t="shared" si="0"/>
        <v>nov</v>
      </c>
      <c r="CI6" s="7" t="str">
        <f t="shared" si="0"/>
        <v>nov</v>
      </c>
      <c r="CJ6" s="7" t="str">
        <f t="shared" si="0"/>
        <v>nov</v>
      </c>
      <c r="CK6" s="7" t="str">
        <f t="shared" si="0"/>
        <v>nov</v>
      </c>
      <c r="CL6" s="7" t="str">
        <f t="shared" si="0"/>
        <v>dic</v>
      </c>
      <c r="CM6" s="7" t="str">
        <f t="shared" si="0"/>
        <v>dic</v>
      </c>
      <c r="CN6" s="7" t="str">
        <f t="shared" si="0"/>
        <v>dic</v>
      </c>
      <c r="CO6" s="7" t="str">
        <f t="shared" si="0"/>
        <v>dic</v>
      </c>
      <c r="CP6" s="7" t="str">
        <f t="shared" si="0"/>
        <v>dic</v>
      </c>
      <c r="CQ6" s="7" t="str">
        <f t="shared" si="0"/>
        <v>dic</v>
      </c>
      <c r="CR6" s="7" t="str">
        <f t="shared" si="0"/>
        <v>dic</v>
      </c>
      <c r="CS6" s="7" t="str">
        <f t="shared" si="0"/>
        <v>dic</v>
      </c>
      <c r="CT6" s="7" t="str">
        <f t="shared" si="0"/>
        <v>ene</v>
      </c>
      <c r="CU6" s="7" t="str">
        <f t="shared" si="0"/>
        <v>ene</v>
      </c>
      <c r="CV6" s="7" t="str">
        <f t="shared" si="0"/>
        <v>ene</v>
      </c>
      <c r="CW6" s="7" t="str">
        <f t="shared" si="0"/>
        <v>ene</v>
      </c>
      <c r="CX6" s="124" t="s">
        <v>18</v>
      </c>
      <c r="CY6" s="125"/>
      <c r="CZ6" s="125"/>
      <c r="DA6" s="125"/>
      <c r="DB6" s="125"/>
      <c r="DC6" s="125"/>
      <c r="DD6" s="125"/>
      <c r="DE6" s="125"/>
      <c r="DF6" s="125"/>
      <c r="DG6" s="125"/>
      <c r="DH6" s="125"/>
      <c r="DI6" s="125"/>
      <c r="DJ6" s="125"/>
      <c r="DK6" s="125"/>
      <c r="DL6" s="125"/>
      <c r="DM6" s="125"/>
      <c r="DN6" s="125"/>
      <c r="DO6" s="125"/>
      <c r="DP6" s="125"/>
      <c r="DQ6" s="125"/>
      <c r="DR6" s="125"/>
      <c r="DS6" s="125"/>
      <c r="DT6" s="125"/>
      <c r="DU6" s="125"/>
      <c r="DV6" s="125"/>
      <c r="DW6" s="125"/>
    </row>
    <row r="7" spans="1:129" ht="22.5">
      <c r="A7" s="168" t="s">
        <v>19</v>
      </c>
      <c r="B7" s="96"/>
      <c r="C7" s="146"/>
      <c r="D7" s="8">
        <f>'BASE DE DATOS'!G5</f>
        <v>46101</v>
      </c>
      <c r="E7" s="9" t="s">
        <v>20</v>
      </c>
      <c r="F7" s="10">
        <f>'BASE DE DATOS'!G6</f>
        <v>46102</v>
      </c>
      <c r="G7" s="164"/>
      <c r="H7" s="144"/>
      <c r="I7" s="144"/>
      <c r="J7" s="144"/>
      <c r="K7" s="144"/>
      <c r="L7" s="144"/>
      <c r="M7" s="144"/>
      <c r="N7" s="144"/>
      <c r="O7" s="165"/>
      <c r="P7" s="11">
        <f>D7</f>
        <v>46101</v>
      </c>
      <c r="Q7" s="12">
        <f>F7</f>
        <v>46102</v>
      </c>
      <c r="R7" s="12">
        <f>IF('BASE DE DATOS'!$G$4=1,(Q7+7),IF('BASE DE DATOS'!$G$4=2,(P7+7)))</f>
        <v>46108</v>
      </c>
      <c r="S7" s="12">
        <f>IF('BASE DE DATOS'!$G$4=1,(R7+7),IF('BASE DE DATOS'!$G$4=2,(Q7+7)))</f>
        <v>46109</v>
      </c>
      <c r="T7" s="12">
        <f>IF('BASE DE DATOS'!$G$4=1,(S7+7),IF('BASE DE DATOS'!$G$4=2,(R7+7)))</f>
        <v>46115</v>
      </c>
      <c r="U7" s="12">
        <f>IF('BASE DE DATOS'!$G$4=1,(T7+7),IF('BASE DE DATOS'!$G$4=2,(S7+7)))</f>
        <v>46116</v>
      </c>
      <c r="V7" s="12">
        <f>IF('BASE DE DATOS'!$G$4=1,(U7+7),IF('BASE DE DATOS'!$G$4=2,(T7+7)))</f>
        <v>46122</v>
      </c>
      <c r="W7" s="12">
        <f>IF('BASE DE DATOS'!$G$4=1,(V7+7),IF('BASE DE DATOS'!$G$4=2,(U7+7)))</f>
        <v>46123</v>
      </c>
      <c r="X7" s="12">
        <f>IF('BASE DE DATOS'!$G$4=1,(W7+7),IF('BASE DE DATOS'!$G$4=2,(V7+7)))</f>
        <v>46129</v>
      </c>
      <c r="Y7" s="12">
        <f>IF('BASE DE DATOS'!$G$4=1,(X7+7),IF('BASE DE DATOS'!$G$4=2,(W7+7)))</f>
        <v>46130</v>
      </c>
      <c r="Z7" s="12">
        <f>IF('BASE DE DATOS'!$G$4=1,(Y7+7),IF('BASE DE DATOS'!$G$4=2,(X7+7)))</f>
        <v>46136</v>
      </c>
      <c r="AA7" s="12">
        <f>IF('BASE DE DATOS'!$G$4=1,(Z7+7),IF('BASE DE DATOS'!$G$4=2,(Y7+7)))</f>
        <v>46137</v>
      </c>
      <c r="AB7" s="12">
        <f>IF('BASE DE DATOS'!$G$4=1,(AA7+7),IF('BASE DE DATOS'!$G$4=2,(Z7+7)))</f>
        <v>46143</v>
      </c>
      <c r="AC7" s="12">
        <f>IF('BASE DE DATOS'!$G$4=1,(AB7+7),IF('BASE DE DATOS'!$G$4=2,(AA7+7)))</f>
        <v>46144</v>
      </c>
      <c r="AD7" s="12">
        <f>IF('BASE DE DATOS'!$G$4=1,(AC7+7),IF('BASE DE DATOS'!$G$4=2,(AB7+7)))</f>
        <v>46150</v>
      </c>
      <c r="AE7" s="12">
        <f>IF('BASE DE DATOS'!$G$4=1,(AD7+7),IF('BASE DE DATOS'!$G$4=2,(AC7+7)))</f>
        <v>46151</v>
      </c>
      <c r="AF7" s="12">
        <f>IF('BASE DE DATOS'!$G$4=1,(AE7+7),IF('BASE DE DATOS'!$G$4=2,(AD7+7)))</f>
        <v>46157</v>
      </c>
      <c r="AG7" s="12">
        <f>IF('BASE DE DATOS'!$G$4=1,(AF7+7),IF('BASE DE DATOS'!$G$4=2,(AE7+7)))</f>
        <v>46158</v>
      </c>
      <c r="AH7" s="12">
        <f>IF('BASE DE DATOS'!$G$4=1,(AG7+7),IF('BASE DE DATOS'!$G$4=2,(AF7+7)))</f>
        <v>46164</v>
      </c>
      <c r="AI7" s="12">
        <f>IF('BASE DE DATOS'!$G$4=1,(AH7+7),IF('BASE DE DATOS'!$G$4=2,(AG7+7)))</f>
        <v>46165</v>
      </c>
      <c r="AJ7" s="12">
        <f>IF('BASE DE DATOS'!$G$4=1,(AI7+7),IF('BASE DE DATOS'!$G$4=2,(AH7+7)))</f>
        <v>46171</v>
      </c>
      <c r="AK7" s="12">
        <f>IF('BASE DE DATOS'!$G$4=1,(AJ7+7),IF('BASE DE DATOS'!$G$4=2,(AI7+7)))</f>
        <v>46172</v>
      </c>
      <c r="AL7" s="12">
        <f>IF('BASE DE DATOS'!$G$4=1,(AK7+7),IF('BASE DE DATOS'!$G$4=2,(AJ7+7)))</f>
        <v>46178</v>
      </c>
      <c r="AM7" s="12">
        <f>IF('BASE DE DATOS'!$G$4=1,(AL7+7),IF('BASE DE DATOS'!$G$4=2,(AK7+7)))</f>
        <v>46179</v>
      </c>
      <c r="AN7" s="12">
        <f>IF('BASE DE DATOS'!$G$4=1,(AM7+7),IF('BASE DE DATOS'!$G$4=2,(AL7+7)))</f>
        <v>46185</v>
      </c>
      <c r="AO7" s="12">
        <f>IF('BASE DE DATOS'!$G$4=1,(AN7+7),IF('BASE DE DATOS'!$G$4=2,(AM7+7)))</f>
        <v>46186</v>
      </c>
      <c r="AP7" s="12">
        <f>IF('BASE DE DATOS'!$G$4=1,(AO7+7),IF('BASE DE DATOS'!$G$4=2,(AN7+7)))</f>
        <v>46192</v>
      </c>
      <c r="AQ7" s="12">
        <f>IF('BASE DE DATOS'!$G$4=1,(AP7+7),IF('BASE DE DATOS'!$G$4=2,(AO7+7)))</f>
        <v>46193</v>
      </c>
      <c r="AR7" s="12">
        <f>IF('BASE DE DATOS'!$G$4=1,(AQ7+7),IF('BASE DE DATOS'!$G$4=2,(AP7+7)))</f>
        <v>46199</v>
      </c>
      <c r="AS7" s="12">
        <f>IF('BASE DE DATOS'!$G$4=1,(AR7+7),IF('BASE DE DATOS'!$G$4=2,(AQ7+7)))</f>
        <v>46200</v>
      </c>
      <c r="AT7" s="12">
        <f>IF('BASE DE DATOS'!$G$4=1,(AS7+7),IF('BASE DE DATOS'!$G$4=2,(AR7+7)))</f>
        <v>46206</v>
      </c>
      <c r="AU7" s="12">
        <f>IF('BASE DE DATOS'!$G$4=1,(AT7+7),IF('BASE DE DATOS'!$G$4=2,(AS7+7)))</f>
        <v>46207</v>
      </c>
      <c r="AV7" s="12">
        <f>IF('BASE DE DATOS'!$G$4=1,(AU7+7),IF('BASE DE DATOS'!$G$4=2,(AT7+7)))</f>
        <v>46213</v>
      </c>
      <c r="AW7" s="12">
        <f>IF('BASE DE DATOS'!$G$4=1,(AV7+7),IF('BASE DE DATOS'!$G$4=2,(AU7+7)))</f>
        <v>46214</v>
      </c>
      <c r="AX7" s="12">
        <f>IF('BASE DE DATOS'!$G$4=1,(AW7+7),IF('BASE DE DATOS'!$G$4=2,(AV7+7)))</f>
        <v>46220</v>
      </c>
      <c r="AY7" s="12">
        <f>IF('BASE DE DATOS'!$G$4=1,(AX7+7),IF('BASE DE DATOS'!$G$4=2,(AW7+7)))</f>
        <v>46221</v>
      </c>
      <c r="AZ7" s="12">
        <f>IF('BASE DE DATOS'!$G$4=1,(AY7+7),IF('BASE DE DATOS'!$G$4=2,(AX7+7)))</f>
        <v>46227</v>
      </c>
      <c r="BA7" s="12">
        <f>IF('BASE DE DATOS'!$G$4=1,(AZ7+7),IF('BASE DE DATOS'!$G$4=2,(AY7+7)))</f>
        <v>46228</v>
      </c>
      <c r="BB7" s="12">
        <f>IF('BASE DE DATOS'!$G$4=1,(BA7+7),IF('BASE DE DATOS'!$G$4=2,(AZ7+7)))</f>
        <v>46234</v>
      </c>
      <c r="BC7" s="12">
        <f>IF('BASE DE DATOS'!$G$4=1,(BB7+7),IF('BASE DE DATOS'!$G$4=2,(BA7+7)))</f>
        <v>46235</v>
      </c>
      <c r="BD7" s="12">
        <f>IF('BASE DE DATOS'!$G$4=1,(BC7+7),IF('BASE DE DATOS'!$G$4=2,(BB7+7)))</f>
        <v>46241</v>
      </c>
      <c r="BE7" s="12">
        <f>IF('BASE DE DATOS'!$G$4=1,(BD7+7),IF('BASE DE DATOS'!$G$4=2,(BC7+7)))</f>
        <v>46242</v>
      </c>
      <c r="BF7" s="12">
        <f>IF('BASE DE DATOS'!$G$4=1,(BE7+7),IF('BASE DE DATOS'!$G$4=2,(BD7+7)))</f>
        <v>46248</v>
      </c>
      <c r="BG7" s="12">
        <f>IF('BASE DE DATOS'!$G$4=1,(BF7+7),IF('BASE DE DATOS'!$G$4=2,(BE7+7)))</f>
        <v>46249</v>
      </c>
      <c r="BH7" s="12">
        <f>IF('BASE DE DATOS'!$G$4=1,(BG7+7),IF('BASE DE DATOS'!$G$4=2,(BF7+7)))</f>
        <v>46255</v>
      </c>
      <c r="BI7" s="12">
        <f>IF('BASE DE DATOS'!$G$4=1,(BH7+7),IF('BASE DE DATOS'!$G$4=2,(BG7+7)))</f>
        <v>46256</v>
      </c>
      <c r="BJ7" s="12">
        <f>IF('BASE DE DATOS'!$G$4=1,(BI7+7),IF('BASE DE DATOS'!$G$4=2,(BH7+7)))</f>
        <v>46262</v>
      </c>
      <c r="BK7" s="12">
        <f>IF('BASE DE DATOS'!$G$4=1,(BJ7+7),IF('BASE DE DATOS'!$G$4=2,(BI7+7)))</f>
        <v>46263</v>
      </c>
      <c r="BL7" s="12">
        <f>IF('BASE DE DATOS'!$G$4=1,(BK7+7),IF('BASE DE DATOS'!$G$4=2,(BJ7+7)))</f>
        <v>46269</v>
      </c>
      <c r="BM7" s="12">
        <f>IF('BASE DE DATOS'!$G$4=1,(BL7+7),IF('BASE DE DATOS'!$G$4=2,(BK7+7)))</f>
        <v>46270</v>
      </c>
      <c r="BN7" s="12">
        <f>IF('BASE DE DATOS'!$G$4=1,(BM7+7),IF('BASE DE DATOS'!$G$4=2,(BL7+7)))</f>
        <v>46276</v>
      </c>
      <c r="BO7" s="12">
        <f>IF('BASE DE DATOS'!$G$4=1,(BN7+7),IF('BASE DE DATOS'!$G$4=2,(BM7+7)))</f>
        <v>46277</v>
      </c>
      <c r="BP7" s="12">
        <f>IF('BASE DE DATOS'!$G$4=1,(BO7+7),IF('BASE DE DATOS'!$G$4=2,(BN7+7)))</f>
        <v>46283</v>
      </c>
      <c r="BQ7" s="12">
        <f>IF('BASE DE DATOS'!$G$4=1,(BP7+7),IF('BASE DE DATOS'!$G$4=2,(BO7+7)))</f>
        <v>46284</v>
      </c>
      <c r="BR7" s="12">
        <f>IF('BASE DE DATOS'!$G$4=1,(BQ7+7),IF('BASE DE DATOS'!$G$4=2,(BP7+7)))</f>
        <v>46290</v>
      </c>
      <c r="BS7" s="12">
        <f>IF('BASE DE DATOS'!$G$4=1,(BR7+7),IF('BASE DE DATOS'!$G$4=2,(BQ7+7)))</f>
        <v>46291</v>
      </c>
      <c r="BT7" s="12">
        <f>IF('BASE DE DATOS'!$G$4=1,(BS7+7),IF('BASE DE DATOS'!$G$4=2,(BR7+7)))</f>
        <v>46297</v>
      </c>
      <c r="BU7" s="12">
        <f>IF('BASE DE DATOS'!$G$4=1,(BT7+7),IF('BASE DE DATOS'!$G$4=2,(BS7+7)))</f>
        <v>46298</v>
      </c>
      <c r="BV7" s="12">
        <f>IF('BASE DE DATOS'!$G$4=1,(BU7+7),IF('BASE DE DATOS'!$G$4=2,(BT7+7)))</f>
        <v>46304</v>
      </c>
      <c r="BW7" s="12">
        <f>IF('BASE DE DATOS'!$G$4=1,(BV7+7),IF('BASE DE DATOS'!$G$4=2,(BU7+7)))</f>
        <v>46305</v>
      </c>
      <c r="BX7" s="12">
        <f>IF('BASE DE DATOS'!$G$4=1,(BW7+7),IF('BASE DE DATOS'!$G$4=2,(BV7+7)))</f>
        <v>46311</v>
      </c>
      <c r="BY7" s="12">
        <f>IF('BASE DE DATOS'!$G$4=1,(BX7+7),IF('BASE DE DATOS'!$G$4=2,(BW7+7)))</f>
        <v>46312</v>
      </c>
      <c r="BZ7" s="12">
        <f>IF('BASE DE DATOS'!$G$4=1,(BY7+7),IF('BASE DE DATOS'!$G$4=2,(BX7+7)))</f>
        <v>46318</v>
      </c>
      <c r="CA7" s="12">
        <f>IF('BASE DE DATOS'!$G$4=1,(BZ7+7),IF('BASE DE DATOS'!$G$4=2,(BY7+7)))</f>
        <v>46319</v>
      </c>
      <c r="CB7" s="12">
        <f>IF('BASE DE DATOS'!$G$4=1,(CA7+7),IF('BASE DE DATOS'!$G$4=2,(BZ7+7)))</f>
        <v>46325</v>
      </c>
      <c r="CC7" s="12">
        <f>IF('BASE DE DATOS'!$G$4=1,(CB7+7),IF('BASE DE DATOS'!$G$4=2,(CA7+7)))</f>
        <v>46326</v>
      </c>
      <c r="CD7" s="12">
        <f>IF('BASE DE DATOS'!$G$4=1,(CC7+7),IF('BASE DE DATOS'!$G$4=2,(CB7+7)))</f>
        <v>46332</v>
      </c>
      <c r="CE7" s="12">
        <f>IF('BASE DE DATOS'!$G$4=1,(CD7+7),IF('BASE DE DATOS'!$G$4=2,(CC7+7)))</f>
        <v>46333</v>
      </c>
      <c r="CF7" s="12">
        <f>IF('BASE DE DATOS'!$G$4=1,(CE7+7),IF('BASE DE DATOS'!$G$4=2,(CD7+7)))</f>
        <v>46339</v>
      </c>
      <c r="CG7" s="12">
        <f>IF('BASE DE DATOS'!$G$4=1,(CF7+7),IF('BASE DE DATOS'!$G$4=2,(CE7+7)))</f>
        <v>46340</v>
      </c>
      <c r="CH7" s="12">
        <f>IF('BASE DE DATOS'!$G$4=1,(CG7+7),IF('BASE DE DATOS'!$G$4=2,(CF7+7)))</f>
        <v>46346</v>
      </c>
      <c r="CI7" s="12">
        <f>IF('BASE DE DATOS'!$G$4=1,(CH7+7),IF('BASE DE DATOS'!$G$4=2,(CG7+7)))</f>
        <v>46347</v>
      </c>
      <c r="CJ7" s="12">
        <f>IF('BASE DE DATOS'!$G$4=1,(CI7+7),IF('BASE DE DATOS'!$G$4=2,(CH7+7)))</f>
        <v>46353</v>
      </c>
      <c r="CK7" s="12">
        <f>IF('BASE DE DATOS'!$G$4=1,(CJ7+7),IF('BASE DE DATOS'!$G$4=2,(CI7+7)))</f>
        <v>46354</v>
      </c>
      <c r="CL7" s="12">
        <f>IF('BASE DE DATOS'!$G$4=1,(CK7+7),IF('BASE DE DATOS'!$G$4=2,(CJ7+7)))</f>
        <v>46360</v>
      </c>
      <c r="CM7" s="12">
        <f>IF('BASE DE DATOS'!$G$4=1,(CL7+7),IF('BASE DE DATOS'!$G$4=2,(CK7+7)))</f>
        <v>46361</v>
      </c>
      <c r="CN7" s="12">
        <f>IF('BASE DE DATOS'!$G$4=1,(CM7+7),IF('BASE DE DATOS'!$G$4=2,(CL7+7)))</f>
        <v>46367</v>
      </c>
      <c r="CO7" s="12">
        <f>IF('BASE DE DATOS'!$G$4=1,(CN7+7),IF('BASE DE DATOS'!$G$4=2,(CM7+7)))</f>
        <v>46368</v>
      </c>
      <c r="CP7" s="12">
        <f>IF('BASE DE DATOS'!$G$4=1,(CO7+7),IF('BASE DE DATOS'!$G$4=2,(CN7+7)))</f>
        <v>46374</v>
      </c>
      <c r="CQ7" s="12">
        <f>IF('BASE DE DATOS'!$G$4=1,(CP7+7),IF('BASE DE DATOS'!$G$4=2,(CO7+7)))</f>
        <v>46375</v>
      </c>
      <c r="CR7" s="12">
        <f>IF('BASE DE DATOS'!$G$4=1,(CQ7+7),IF('BASE DE DATOS'!$G$4=2,(CP7+7)))</f>
        <v>46381</v>
      </c>
      <c r="CS7" s="12">
        <f>IF('BASE DE DATOS'!$G$4=1,(CR7+7),IF('BASE DE DATOS'!$G$4=2,(CQ7+7)))</f>
        <v>46382</v>
      </c>
      <c r="CT7" s="12">
        <f>IF('BASE DE DATOS'!$G$4=1,(CS7+7),IF('BASE DE DATOS'!$G$4=2,(CR7+7)))</f>
        <v>46388</v>
      </c>
      <c r="CU7" s="12">
        <f>IF('BASE DE DATOS'!$G$4=1,(CT7+7),IF('BASE DE DATOS'!$G$4=2,(CS7+7)))</f>
        <v>46389</v>
      </c>
      <c r="CV7" s="12">
        <f>IF('BASE DE DATOS'!$G$4=1,(CU7+7),IF('BASE DE DATOS'!$G$4=2,(CT7+7)))</f>
        <v>46395</v>
      </c>
      <c r="CW7" s="12">
        <f>IF('BASE DE DATOS'!$G$4=1,(CV7+7),IF('BASE DE DATOS'!$G$4=2,(CU7+7)))</f>
        <v>46396</v>
      </c>
      <c r="CX7" s="126" t="s">
        <v>21</v>
      </c>
      <c r="CY7" s="127"/>
      <c r="CZ7" s="126" t="s">
        <v>22</v>
      </c>
      <c r="DA7" s="125"/>
      <c r="DB7" s="126" t="s">
        <v>23</v>
      </c>
      <c r="DC7" s="127"/>
      <c r="DD7" s="126" t="s">
        <v>24</v>
      </c>
      <c r="DE7" s="127"/>
      <c r="DF7" s="126" t="s">
        <v>25</v>
      </c>
      <c r="DG7" s="127"/>
      <c r="DH7" s="126" t="s">
        <v>26</v>
      </c>
      <c r="DI7" s="127"/>
      <c r="DJ7" s="126" t="s">
        <v>27</v>
      </c>
      <c r="DK7" s="127"/>
      <c r="DL7" s="126" t="s">
        <v>28</v>
      </c>
      <c r="DM7" s="127"/>
      <c r="DN7" s="126" t="s">
        <v>29</v>
      </c>
      <c r="DO7" s="127"/>
      <c r="DP7" s="126" t="s">
        <v>30</v>
      </c>
      <c r="DQ7" s="127"/>
      <c r="DR7" s="126" t="s">
        <v>31</v>
      </c>
      <c r="DS7" s="127"/>
      <c r="DT7" s="126" t="s">
        <v>32</v>
      </c>
      <c r="DU7" s="127"/>
      <c r="DV7" s="128" t="s">
        <v>33</v>
      </c>
      <c r="DW7" s="125"/>
    </row>
    <row r="8" spans="1:129" ht="30.75" customHeight="1">
      <c r="A8" s="13" t="s">
        <v>34</v>
      </c>
      <c r="B8" s="14" t="s">
        <v>35</v>
      </c>
      <c r="C8" s="15" t="s">
        <v>36</v>
      </c>
      <c r="D8" s="71" t="s">
        <v>37</v>
      </c>
      <c r="E8" s="71" t="s">
        <v>38</v>
      </c>
      <c r="F8" s="71" t="s">
        <v>39</v>
      </c>
      <c r="G8" s="16" t="s">
        <v>40</v>
      </c>
      <c r="H8" s="16" t="s">
        <v>11</v>
      </c>
      <c r="I8" s="16" t="s">
        <v>13</v>
      </c>
      <c r="J8" s="16" t="s">
        <v>41</v>
      </c>
      <c r="K8" s="16" t="s">
        <v>42</v>
      </c>
      <c r="L8" s="16" t="s">
        <v>43</v>
      </c>
      <c r="M8" s="16" t="s">
        <v>44</v>
      </c>
      <c r="N8" s="16" t="s">
        <v>45</v>
      </c>
      <c r="O8" s="17" t="s">
        <v>46</v>
      </c>
      <c r="P8" s="18">
        <f>D7</f>
        <v>46101</v>
      </c>
      <c r="Q8" s="18">
        <f>F7</f>
        <v>46102</v>
      </c>
      <c r="R8" s="18">
        <f t="shared" ref="R8:CW8" si="1">P8+7</f>
        <v>46108</v>
      </c>
      <c r="S8" s="18">
        <f t="shared" si="1"/>
        <v>46109</v>
      </c>
      <c r="T8" s="18">
        <f t="shared" si="1"/>
        <v>46115</v>
      </c>
      <c r="U8" s="18">
        <f t="shared" si="1"/>
        <v>46116</v>
      </c>
      <c r="V8" s="18">
        <f t="shared" si="1"/>
        <v>46122</v>
      </c>
      <c r="W8" s="18">
        <f t="shared" si="1"/>
        <v>46123</v>
      </c>
      <c r="X8" s="18">
        <f t="shared" si="1"/>
        <v>46129</v>
      </c>
      <c r="Y8" s="18">
        <f t="shared" si="1"/>
        <v>46130</v>
      </c>
      <c r="Z8" s="18">
        <f t="shared" si="1"/>
        <v>46136</v>
      </c>
      <c r="AA8" s="18">
        <f t="shared" si="1"/>
        <v>46137</v>
      </c>
      <c r="AB8" s="18">
        <f t="shared" si="1"/>
        <v>46143</v>
      </c>
      <c r="AC8" s="18">
        <f t="shared" si="1"/>
        <v>46144</v>
      </c>
      <c r="AD8" s="18">
        <f t="shared" si="1"/>
        <v>46150</v>
      </c>
      <c r="AE8" s="18">
        <f t="shared" si="1"/>
        <v>46151</v>
      </c>
      <c r="AF8" s="18">
        <f t="shared" si="1"/>
        <v>46157</v>
      </c>
      <c r="AG8" s="18">
        <f t="shared" si="1"/>
        <v>46158</v>
      </c>
      <c r="AH8" s="18">
        <f t="shared" si="1"/>
        <v>46164</v>
      </c>
      <c r="AI8" s="18">
        <f t="shared" si="1"/>
        <v>46165</v>
      </c>
      <c r="AJ8" s="18">
        <f t="shared" si="1"/>
        <v>46171</v>
      </c>
      <c r="AK8" s="18">
        <f t="shared" si="1"/>
        <v>46172</v>
      </c>
      <c r="AL8" s="18">
        <f t="shared" si="1"/>
        <v>46178</v>
      </c>
      <c r="AM8" s="18">
        <f t="shared" si="1"/>
        <v>46179</v>
      </c>
      <c r="AN8" s="18">
        <f t="shared" si="1"/>
        <v>46185</v>
      </c>
      <c r="AO8" s="18">
        <f t="shared" si="1"/>
        <v>46186</v>
      </c>
      <c r="AP8" s="18">
        <f t="shared" si="1"/>
        <v>46192</v>
      </c>
      <c r="AQ8" s="18">
        <f t="shared" si="1"/>
        <v>46193</v>
      </c>
      <c r="AR8" s="18">
        <f t="shared" si="1"/>
        <v>46199</v>
      </c>
      <c r="AS8" s="18">
        <f t="shared" si="1"/>
        <v>46200</v>
      </c>
      <c r="AT8" s="18">
        <f t="shared" si="1"/>
        <v>46206</v>
      </c>
      <c r="AU8" s="18">
        <f t="shared" si="1"/>
        <v>46207</v>
      </c>
      <c r="AV8" s="18">
        <f t="shared" si="1"/>
        <v>46213</v>
      </c>
      <c r="AW8" s="18">
        <f t="shared" si="1"/>
        <v>46214</v>
      </c>
      <c r="AX8" s="18">
        <f t="shared" si="1"/>
        <v>46220</v>
      </c>
      <c r="AY8" s="18">
        <f t="shared" si="1"/>
        <v>46221</v>
      </c>
      <c r="AZ8" s="18">
        <f t="shared" si="1"/>
        <v>46227</v>
      </c>
      <c r="BA8" s="18">
        <f t="shared" si="1"/>
        <v>46228</v>
      </c>
      <c r="BB8" s="18">
        <f t="shared" si="1"/>
        <v>46234</v>
      </c>
      <c r="BC8" s="18">
        <f t="shared" si="1"/>
        <v>46235</v>
      </c>
      <c r="BD8" s="18">
        <f t="shared" si="1"/>
        <v>46241</v>
      </c>
      <c r="BE8" s="18">
        <f t="shared" si="1"/>
        <v>46242</v>
      </c>
      <c r="BF8" s="18">
        <f t="shared" si="1"/>
        <v>46248</v>
      </c>
      <c r="BG8" s="18">
        <f t="shared" si="1"/>
        <v>46249</v>
      </c>
      <c r="BH8" s="18">
        <f t="shared" si="1"/>
        <v>46255</v>
      </c>
      <c r="BI8" s="18">
        <f t="shared" si="1"/>
        <v>46256</v>
      </c>
      <c r="BJ8" s="18">
        <f t="shared" si="1"/>
        <v>46262</v>
      </c>
      <c r="BK8" s="18">
        <f t="shared" si="1"/>
        <v>46263</v>
      </c>
      <c r="BL8" s="18">
        <f t="shared" si="1"/>
        <v>46269</v>
      </c>
      <c r="BM8" s="18">
        <f t="shared" si="1"/>
        <v>46270</v>
      </c>
      <c r="BN8" s="18">
        <f t="shared" si="1"/>
        <v>46276</v>
      </c>
      <c r="BO8" s="18">
        <f t="shared" si="1"/>
        <v>46277</v>
      </c>
      <c r="BP8" s="18">
        <f t="shared" si="1"/>
        <v>46283</v>
      </c>
      <c r="BQ8" s="18">
        <f t="shared" si="1"/>
        <v>46284</v>
      </c>
      <c r="BR8" s="18">
        <f t="shared" si="1"/>
        <v>46290</v>
      </c>
      <c r="BS8" s="18">
        <f t="shared" si="1"/>
        <v>46291</v>
      </c>
      <c r="BT8" s="18">
        <f t="shared" si="1"/>
        <v>46297</v>
      </c>
      <c r="BU8" s="18">
        <f t="shared" si="1"/>
        <v>46298</v>
      </c>
      <c r="BV8" s="18">
        <f t="shared" si="1"/>
        <v>46304</v>
      </c>
      <c r="BW8" s="18">
        <f t="shared" si="1"/>
        <v>46305</v>
      </c>
      <c r="BX8" s="18">
        <f t="shared" si="1"/>
        <v>46311</v>
      </c>
      <c r="BY8" s="18">
        <f t="shared" si="1"/>
        <v>46312</v>
      </c>
      <c r="BZ8" s="18">
        <f t="shared" si="1"/>
        <v>46318</v>
      </c>
      <c r="CA8" s="18">
        <f t="shared" si="1"/>
        <v>46319</v>
      </c>
      <c r="CB8" s="18">
        <f t="shared" si="1"/>
        <v>46325</v>
      </c>
      <c r="CC8" s="18">
        <f t="shared" si="1"/>
        <v>46326</v>
      </c>
      <c r="CD8" s="18">
        <f t="shared" si="1"/>
        <v>46332</v>
      </c>
      <c r="CE8" s="18">
        <f t="shared" si="1"/>
        <v>46333</v>
      </c>
      <c r="CF8" s="18">
        <f t="shared" si="1"/>
        <v>46339</v>
      </c>
      <c r="CG8" s="18">
        <f t="shared" si="1"/>
        <v>46340</v>
      </c>
      <c r="CH8" s="18">
        <f t="shared" si="1"/>
        <v>46346</v>
      </c>
      <c r="CI8" s="18">
        <f t="shared" si="1"/>
        <v>46347</v>
      </c>
      <c r="CJ8" s="18">
        <f t="shared" si="1"/>
        <v>46353</v>
      </c>
      <c r="CK8" s="18">
        <f t="shared" si="1"/>
        <v>46354</v>
      </c>
      <c r="CL8" s="18">
        <f t="shared" si="1"/>
        <v>46360</v>
      </c>
      <c r="CM8" s="18">
        <f t="shared" si="1"/>
        <v>46361</v>
      </c>
      <c r="CN8" s="18">
        <f t="shared" si="1"/>
        <v>46367</v>
      </c>
      <c r="CO8" s="18">
        <f t="shared" si="1"/>
        <v>46368</v>
      </c>
      <c r="CP8" s="18">
        <f t="shared" si="1"/>
        <v>46374</v>
      </c>
      <c r="CQ8" s="18">
        <f t="shared" si="1"/>
        <v>46375</v>
      </c>
      <c r="CR8" s="18">
        <f t="shared" si="1"/>
        <v>46381</v>
      </c>
      <c r="CS8" s="18">
        <f t="shared" si="1"/>
        <v>46382</v>
      </c>
      <c r="CT8" s="18">
        <f t="shared" si="1"/>
        <v>46388</v>
      </c>
      <c r="CU8" s="18">
        <f t="shared" si="1"/>
        <v>46389</v>
      </c>
      <c r="CV8" s="18">
        <f t="shared" si="1"/>
        <v>46395</v>
      </c>
      <c r="CW8" s="18">
        <f t="shared" si="1"/>
        <v>46396</v>
      </c>
      <c r="CX8" s="19" t="s">
        <v>11</v>
      </c>
      <c r="CY8" s="20" t="s">
        <v>13</v>
      </c>
      <c r="CZ8" s="19" t="s">
        <v>11</v>
      </c>
      <c r="DA8" s="21" t="s">
        <v>13</v>
      </c>
      <c r="DB8" s="19" t="s">
        <v>11</v>
      </c>
      <c r="DC8" s="20" t="s">
        <v>13</v>
      </c>
      <c r="DD8" s="19" t="s">
        <v>11</v>
      </c>
      <c r="DE8" s="20" t="s">
        <v>13</v>
      </c>
      <c r="DF8" s="19" t="s">
        <v>11</v>
      </c>
      <c r="DG8" s="20" t="s">
        <v>13</v>
      </c>
      <c r="DH8" s="19" t="s">
        <v>11</v>
      </c>
      <c r="DI8" s="20" t="s">
        <v>13</v>
      </c>
      <c r="DJ8" s="19" t="s">
        <v>11</v>
      </c>
      <c r="DK8" s="20" t="s">
        <v>13</v>
      </c>
      <c r="DL8" s="19" t="s">
        <v>11</v>
      </c>
      <c r="DM8" s="20" t="s">
        <v>13</v>
      </c>
      <c r="DN8" s="19" t="s">
        <v>11</v>
      </c>
      <c r="DO8" s="20" t="s">
        <v>13</v>
      </c>
      <c r="DP8" s="19" t="s">
        <v>11</v>
      </c>
      <c r="DQ8" s="20" t="s">
        <v>13</v>
      </c>
      <c r="DR8" s="19" t="s">
        <v>11</v>
      </c>
      <c r="DS8" s="20" t="s">
        <v>13</v>
      </c>
      <c r="DT8" s="19" t="s">
        <v>11</v>
      </c>
      <c r="DU8" s="20" t="s">
        <v>13</v>
      </c>
      <c r="DV8" s="22" t="s">
        <v>11</v>
      </c>
      <c r="DW8" s="23" t="s">
        <v>13</v>
      </c>
      <c r="DY8" s="24" t="s">
        <v>47</v>
      </c>
    </row>
    <row r="9" spans="1:129" ht="15.75" customHeight="1">
      <c r="A9" s="25">
        <v>1</v>
      </c>
      <c r="B9" s="26" t="str">
        <f>'BASE DE DATOS'!C10</f>
        <v>TI</v>
      </c>
      <c r="C9" s="27">
        <f>'BASE DE DATOS'!D10</f>
        <v>1145225853</v>
      </c>
      <c r="D9" s="28" t="str">
        <f>'BASE DE DATOS'!B10</f>
        <v>EMILY ALEXANDRA AGUILAR CASTELLANOS</v>
      </c>
      <c r="E9" s="29" t="s">
        <v>48</v>
      </c>
      <c r="F9" s="30" t="str">
        <f t="shared" ref="F9:F37" si="2">IF(I9=0,"",IF(I9&gt;=5,"FALTAS INTERMITENTES",IF(I9&gt;=3,"REVISAR FALTAS",IF(AND(I9&lt;3,I9&gt;0),"CON FALTAS"))))</f>
        <v/>
      </c>
      <c r="G9" s="31">
        <f t="shared" ref="G9:G37" si="3">COUNTIF(P9:CR9,"A")</f>
        <v>5</v>
      </c>
      <c r="H9" s="32">
        <f t="shared" ref="H9:H37" si="4">COUNTIF(P9:CR9,"CE")</f>
        <v>0</v>
      </c>
      <c r="I9" s="32">
        <f t="shared" ref="I9:I37" si="5">COUNTIF(P9:CR9,"SE")</f>
        <v>0</v>
      </c>
      <c r="J9" s="32">
        <f t="shared" ref="J9:J37" si="6">COUNTIF(P9:CR9,"INC")</f>
        <v>0</v>
      </c>
      <c r="K9" s="32">
        <f t="shared" ref="K9:K37" si="7">COUNTIF(P9:CR9,"LIC")</f>
        <v>0</v>
      </c>
      <c r="L9" s="32">
        <f t="shared" ref="L9:L37" si="8">COUNTIF(P9:CR9,"CLM")</f>
        <v>0</v>
      </c>
      <c r="M9" s="32">
        <f t="shared" ref="M9:M37" si="9">COUNTIF(P9:IA9,"SFF")</f>
        <v>0</v>
      </c>
      <c r="N9" s="33">
        <f t="shared" ref="N9:N37" si="10">COUNTIF(P9:CR9,"RET")</f>
        <v>0</v>
      </c>
      <c r="O9" s="34">
        <f t="shared" ref="O9:O37" si="11">IFERROR(SUM(H9:K9)/SUM(G9:K9)," ")</f>
        <v>0</v>
      </c>
      <c r="P9" s="35" t="s">
        <v>40</v>
      </c>
      <c r="Q9" s="35" t="s">
        <v>40</v>
      </c>
      <c r="R9" s="35" t="s">
        <v>40</v>
      </c>
      <c r="S9" s="35"/>
      <c r="T9" s="35"/>
      <c r="U9" s="35"/>
      <c r="V9" s="35" t="s">
        <v>40</v>
      </c>
      <c r="W9" s="35" t="s">
        <v>40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6"/>
      <c r="CY9" s="72"/>
      <c r="CZ9" s="36"/>
      <c r="DA9" s="72"/>
      <c r="DB9" s="36"/>
      <c r="DC9" s="72"/>
      <c r="DD9" s="36"/>
      <c r="DE9" s="72"/>
      <c r="DF9" s="36"/>
      <c r="DG9" s="72"/>
      <c r="DH9" s="36"/>
      <c r="DI9" s="72"/>
      <c r="DJ9" s="36"/>
      <c r="DK9" s="72"/>
      <c r="DL9" s="36"/>
      <c r="DM9" s="72"/>
      <c r="DN9" s="36"/>
      <c r="DO9" s="72"/>
      <c r="DP9" s="36"/>
      <c r="DQ9" s="72"/>
      <c r="DR9" s="36"/>
      <c r="DS9" s="72"/>
      <c r="DT9" s="36"/>
      <c r="DU9" s="72"/>
      <c r="DV9" s="37">
        <f t="shared" ref="DV9:DW9" si="12">CX9+CZ9+DB9+DD9+DF9+DH9+DJ9+DL9+DN9+DP9+DR9+DT9</f>
        <v>0</v>
      </c>
      <c r="DW9" s="38">
        <f t="shared" si="12"/>
        <v>0</v>
      </c>
      <c r="DY9" s="39" t="s">
        <v>49</v>
      </c>
    </row>
    <row r="10" spans="1:129" ht="15.75" customHeight="1">
      <c r="A10" s="25">
        <f>A9+1</f>
        <v>2</v>
      </c>
      <c r="B10" s="26" t="str">
        <f>'BASE DE DATOS'!C11</f>
        <v>TI</v>
      </c>
      <c r="C10" s="27">
        <f>'BASE DE DATOS'!D11</f>
        <v>1145225854</v>
      </c>
      <c r="D10" s="28" t="str">
        <f>'BASE DE DATOS'!B11</f>
        <v>ALISON DAYANNA AGUILAR CASTELLANOS</v>
      </c>
      <c r="E10" s="29" t="s">
        <v>48</v>
      </c>
      <c r="F10" s="30" t="str">
        <f t="shared" si="2"/>
        <v/>
      </c>
      <c r="G10" s="40">
        <f t="shared" si="3"/>
        <v>5</v>
      </c>
      <c r="H10" s="41">
        <f t="shared" si="4"/>
        <v>0</v>
      </c>
      <c r="I10" s="41">
        <f t="shared" si="5"/>
        <v>0</v>
      </c>
      <c r="J10" s="41">
        <f t="shared" si="6"/>
        <v>0</v>
      </c>
      <c r="K10" s="41">
        <f t="shared" si="7"/>
        <v>0</v>
      </c>
      <c r="L10" s="41">
        <f t="shared" si="8"/>
        <v>0</v>
      </c>
      <c r="M10" s="32">
        <f t="shared" si="9"/>
        <v>0</v>
      </c>
      <c r="N10" s="33">
        <f t="shared" si="10"/>
        <v>0</v>
      </c>
      <c r="O10" s="42">
        <f t="shared" si="11"/>
        <v>0</v>
      </c>
      <c r="P10" s="35" t="s">
        <v>40</v>
      </c>
      <c r="Q10" s="35" t="s">
        <v>40</v>
      </c>
      <c r="R10" s="35" t="s">
        <v>40</v>
      </c>
      <c r="S10" s="35"/>
      <c r="T10" s="35"/>
      <c r="U10" s="35"/>
      <c r="V10" s="35" t="s">
        <v>40</v>
      </c>
      <c r="W10" s="35" t="s">
        <v>40</v>
      </c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6"/>
      <c r="CY10" s="72"/>
      <c r="CZ10" s="36"/>
      <c r="DA10" s="72"/>
      <c r="DB10" s="36"/>
      <c r="DC10" s="72"/>
      <c r="DD10" s="36"/>
      <c r="DE10" s="72"/>
      <c r="DF10" s="36"/>
      <c r="DG10" s="72"/>
      <c r="DH10" s="36"/>
      <c r="DI10" s="72"/>
      <c r="DJ10" s="36"/>
      <c r="DK10" s="72"/>
      <c r="DL10" s="36"/>
      <c r="DM10" s="72"/>
      <c r="DN10" s="36"/>
      <c r="DO10" s="72"/>
      <c r="DP10" s="36"/>
      <c r="DQ10" s="72"/>
      <c r="DR10" s="36"/>
      <c r="DS10" s="72"/>
      <c r="DT10" s="36"/>
      <c r="DU10" s="72"/>
      <c r="DV10" s="37">
        <f t="shared" ref="DV10:DW10" si="13">CX10+CZ10+DB10+DD10+DF10+DH10+DJ10+DL10+DN10+DP10+DR10+DT10</f>
        <v>0</v>
      </c>
      <c r="DW10" s="38">
        <f t="shared" si="13"/>
        <v>0</v>
      </c>
      <c r="DY10" s="39" t="s">
        <v>50</v>
      </c>
    </row>
    <row r="11" spans="1:129" ht="15.75" customHeight="1">
      <c r="A11" s="25">
        <f t="shared" ref="A11:A43" si="14">A10+1</f>
        <v>3</v>
      </c>
      <c r="B11" s="26" t="str">
        <f>'BASE DE DATOS'!C12</f>
        <v>TI</v>
      </c>
      <c r="C11" s="27">
        <f>'BASE DE DATOS'!D12</f>
        <v>1019068647</v>
      </c>
      <c r="D11" s="28" t="str">
        <f>'BASE DE DATOS'!B12</f>
        <v>ISABEL SOFIA ARIZA PEERPIÑAN</v>
      </c>
      <c r="E11" s="29" t="s">
        <v>48</v>
      </c>
      <c r="F11" s="30" t="str">
        <f t="shared" si="2"/>
        <v/>
      </c>
      <c r="G11" s="40">
        <f t="shared" si="3"/>
        <v>5</v>
      </c>
      <c r="H11" s="41">
        <f t="shared" si="4"/>
        <v>0</v>
      </c>
      <c r="I11" s="41">
        <f t="shared" si="5"/>
        <v>0</v>
      </c>
      <c r="J11" s="41">
        <f t="shared" si="6"/>
        <v>0</v>
      </c>
      <c r="K11" s="41">
        <f t="shared" si="7"/>
        <v>0</v>
      </c>
      <c r="L11" s="41">
        <f t="shared" si="8"/>
        <v>0</v>
      </c>
      <c r="M11" s="32">
        <f t="shared" si="9"/>
        <v>0</v>
      </c>
      <c r="N11" s="33">
        <f t="shared" si="10"/>
        <v>0</v>
      </c>
      <c r="O11" s="42">
        <f t="shared" si="11"/>
        <v>0</v>
      </c>
      <c r="P11" s="35" t="s">
        <v>40</v>
      </c>
      <c r="Q11" s="35" t="s">
        <v>40</v>
      </c>
      <c r="R11" s="35" t="s">
        <v>40</v>
      </c>
      <c r="S11" s="35"/>
      <c r="T11" s="35"/>
      <c r="U11" s="35"/>
      <c r="V11" s="35" t="s">
        <v>40</v>
      </c>
      <c r="W11" s="35" t="s">
        <v>40</v>
      </c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6"/>
      <c r="CY11" s="72"/>
      <c r="CZ11" s="36"/>
      <c r="DA11" s="72"/>
      <c r="DB11" s="36"/>
      <c r="DC11" s="72"/>
      <c r="DD11" s="36"/>
      <c r="DE11" s="72"/>
      <c r="DF11" s="36"/>
      <c r="DG11" s="72"/>
      <c r="DH11" s="36"/>
      <c r="DI11" s="72"/>
      <c r="DJ11" s="36"/>
      <c r="DK11" s="72"/>
      <c r="DL11" s="36"/>
      <c r="DM11" s="72"/>
      <c r="DN11" s="36"/>
      <c r="DO11" s="72"/>
      <c r="DP11" s="36"/>
      <c r="DQ11" s="72"/>
      <c r="DR11" s="36"/>
      <c r="DS11" s="72"/>
      <c r="DT11" s="36"/>
      <c r="DU11" s="72"/>
      <c r="DV11" s="37">
        <f t="shared" ref="DV11:DW11" si="15">CX11+CZ11+DB11+DD11+DF11+DH11+DJ11+DL11+DN11+DP11+DR11+DT11</f>
        <v>0</v>
      </c>
      <c r="DW11" s="38">
        <f t="shared" si="15"/>
        <v>0</v>
      </c>
      <c r="DY11" s="39" t="s">
        <v>51</v>
      </c>
    </row>
    <row r="12" spans="1:129" ht="15.75" customHeight="1">
      <c r="A12" s="25">
        <f t="shared" si="14"/>
        <v>4</v>
      </c>
      <c r="B12" s="26" t="str">
        <f>'BASE DE DATOS'!C13</f>
        <v>TI</v>
      </c>
      <c r="C12" s="27">
        <f>'BASE DE DATOS'!D13</f>
        <v>1015437646</v>
      </c>
      <c r="D12" s="28" t="str">
        <f>'BASE DE DATOS'!B13</f>
        <v>SANTIAGO BENAVIDES BENAVIDES</v>
      </c>
      <c r="E12" s="29" t="s">
        <v>48</v>
      </c>
      <c r="F12" s="30" t="str">
        <f t="shared" si="2"/>
        <v/>
      </c>
      <c r="G12" s="40">
        <f t="shared" si="3"/>
        <v>5</v>
      </c>
      <c r="H12" s="41">
        <f t="shared" si="4"/>
        <v>0</v>
      </c>
      <c r="I12" s="41">
        <f t="shared" si="5"/>
        <v>0</v>
      </c>
      <c r="J12" s="41">
        <f t="shared" si="6"/>
        <v>0</v>
      </c>
      <c r="K12" s="41">
        <f t="shared" si="7"/>
        <v>0</v>
      </c>
      <c r="L12" s="41">
        <f t="shared" si="8"/>
        <v>0</v>
      </c>
      <c r="M12" s="32">
        <f t="shared" si="9"/>
        <v>0</v>
      </c>
      <c r="N12" s="33">
        <f t="shared" si="10"/>
        <v>0</v>
      </c>
      <c r="O12" s="42">
        <f t="shared" si="11"/>
        <v>0</v>
      </c>
      <c r="P12" s="35" t="s">
        <v>40</v>
      </c>
      <c r="Q12" s="35" t="s">
        <v>40</v>
      </c>
      <c r="R12" s="35" t="s">
        <v>40</v>
      </c>
      <c r="S12" s="35"/>
      <c r="T12" s="35"/>
      <c r="U12" s="35"/>
      <c r="V12" s="35" t="s">
        <v>40</v>
      </c>
      <c r="W12" s="35" t="s">
        <v>40</v>
      </c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6"/>
      <c r="CY12" s="72"/>
      <c r="CZ12" s="36"/>
      <c r="DA12" s="72"/>
      <c r="DB12" s="36"/>
      <c r="DC12" s="72"/>
      <c r="DD12" s="36"/>
      <c r="DE12" s="72"/>
      <c r="DF12" s="36"/>
      <c r="DG12" s="72"/>
      <c r="DH12" s="36"/>
      <c r="DI12" s="72"/>
      <c r="DJ12" s="36"/>
      <c r="DK12" s="72"/>
      <c r="DL12" s="36"/>
      <c r="DM12" s="72"/>
      <c r="DN12" s="36"/>
      <c r="DO12" s="72"/>
      <c r="DP12" s="36"/>
      <c r="DQ12" s="72"/>
      <c r="DR12" s="36"/>
      <c r="DS12" s="72"/>
      <c r="DT12" s="36"/>
      <c r="DU12" s="72"/>
      <c r="DV12" s="37">
        <f t="shared" ref="DV12:DW12" si="16">CX12+CZ12+DB12+DD12+DF12+DH12+DJ12+DL12+DN12+DP12+DR12+DT12</f>
        <v>0</v>
      </c>
      <c r="DW12" s="38">
        <f t="shared" si="16"/>
        <v>0</v>
      </c>
      <c r="DY12" s="39" t="s">
        <v>52</v>
      </c>
    </row>
    <row r="13" spans="1:129" ht="15.75" customHeight="1">
      <c r="A13" s="25">
        <f t="shared" si="14"/>
        <v>5</v>
      </c>
      <c r="B13" s="26" t="str">
        <f>'BASE DE DATOS'!C14</f>
        <v>TI</v>
      </c>
      <c r="C13" s="27">
        <f>'BASE DE DATOS'!D14</f>
        <v>1141123667</v>
      </c>
      <c r="D13" s="28" t="str">
        <f>'BASE DE DATOS'!B14</f>
        <v>NICOL DAYANA BENJUMEA LOPEZ</v>
      </c>
      <c r="E13" s="29" t="s">
        <v>48</v>
      </c>
      <c r="F13" s="30" t="str">
        <f t="shared" si="2"/>
        <v/>
      </c>
      <c r="G13" s="40">
        <f t="shared" si="3"/>
        <v>5</v>
      </c>
      <c r="H13" s="41">
        <f t="shared" si="4"/>
        <v>0</v>
      </c>
      <c r="I13" s="41">
        <f t="shared" si="5"/>
        <v>0</v>
      </c>
      <c r="J13" s="41">
        <f t="shared" si="6"/>
        <v>0</v>
      </c>
      <c r="K13" s="41">
        <f t="shared" si="7"/>
        <v>0</v>
      </c>
      <c r="L13" s="41">
        <f t="shared" si="8"/>
        <v>0</v>
      </c>
      <c r="M13" s="32">
        <f t="shared" si="9"/>
        <v>0</v>
      </c>
      <c r="N13" s="33">
        <f t="shared" si="10"/>
        <v>0</v>
      </c>
      <c r="O13" s="42">
        <f t="shared" si="11"/>
        <v>0</v>
      </c>
      <c r="P13" s="35" t="s">
        <v>40</v>
      </c>
      <c r="Q13" s="35" t="s">
        <v>40</v>
      </c>
      <c r="R13" s="35" t="s">
        <v>40</v>
      </c>
      <c r="S13" s="35"/>
      <c r="T13" s="35"/>
      <c r="U13" s="35"/>
      <c r="V13" s="35" t="s">
        <v>40</v>
      </c>
      <c r="W13" s="35" t="s">
        <v>40</v>
      </c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6"/>
      <c r="CY13" s="72"/>
      <c r="CZ13" s="36"/>
      <c r="DA13" s="72"/>
      <c r="DB13" s="36"/>
      <c r="DC13" s="72"/>
      <c r="DD13" s="36"/>
      <c r="DE13" s="72"/>
      <c r="DF13" s="36"/>
      <c r="DG13" s="72"/>
      <c r="DH13" s="36"/>
      <c r="DI13" s="72"/>
      <c r="DJ13" s="36"/>
      <c r="DK13" s="72"/>
      <c r="DL13" s="36"/>
      <c r="DM13" s="72"/>
      <c r="DN13" s="36"/>
      <c r="DO13" s="72"/>
      <c r="DP13" s="36"/>
      <c r="DQ13" s="72"/>
      <c r="DR13" s="36"/>
      <c r="DS13" s="72"/>
      <c r="DT13" s="36"/>
      <c r="DU13" s="72"/>
      <c r="DV13" s="37">
        <f t="shared" ref="DV13:DW13" si="17">CX13+CZ13+DB13+DD13+DF13+DH13+DJ13+DL13+DN13+DP13+DR13+DT13</f>
        <v>0</v>
      </c>
      <c r="DW13" s="38">
        <f t="shared" si="17"/>
        <v>0</v>
      </c>
      <c r="DY13" s="39" t="s">
        <v>53</v>
      </c>
    </row>
    <row r="14" spans="1:129" ht="15" customHeight="1">
      <c r="A14" s="25">
        <f t="shared" si="14"/>
        <v>6</v>
      </c>
      <c r="B14" s="26" t="str">
        <f>'BASE DE DATOS'!C15</f>
        <v>CC</v>
      </c>
      <c r="C14" s="27">
        <f>'BASE DE DATOS'!D15</f>
        <v>1014206476</v>
      </c>
      <c r="D14" s="28" t="str">
        <f>'BASE DE DATOS'!B15</f>
        <v>ANDRES FELIPE CABRERA ZAMORA</v>
      </c>
      <c r="E14" s="29" t="s">
        <v>48</v>
      </c>
      <c r="F14" s="30" t="str">
        <f t="shared" si="2"/>
        <v/>
      </c>
      <c r="G14" s="40">
        <f t="shared" si="3"/>
        <v>5</v>
      </c>
      <c r="H14" s="41">
        <f t="shared" si="4"/>
        <v>0</v>
      </c>
      <c r="I14" s="41">
        <f t="shared" si="5"/>
        <v>0</v>
      </c>
      <c r="J14" s="41">
        <f t="shared" si="6"/>
        <v>0</v>
      </c>
      <c r="K14" s="41">
        <f t="shared" si="7"/>
        <v>0</v>
      </c>
      <c r="L14" s="41">
        <f t="shared" si="8"/>
        <v>0</v>
      </c>
      <c r="M14" s="32">
        <f t="shared" si="9"/>
        <v>0</v>
      </c>
      <c r="N14" s="33">
        <f t="shared" si="10"/>
        <v>0</v>
      </c>
      <c r="O14" s="42">
        <f t="shared" si="11"/>
        <v>0</v>
      </c>
      <c r="P14" s="35" t="s">
        <v>40</v>
      </c>
      <c r="Q14" s="35" t="s">
        <v>40</v>
      </c>
      <c r="R14" s="35" t="s">
        <v>40</v>
      </c>
      <c r="S14" s="35"/>
      <c r="T14" s="35"/>
      <c r="U14" s="35"/>
      <c r="V14" s="35" t="s">
        <v>40</v>
      </c>
      <c r="W14" s="35" t="s">
        <v>40</v>
      </c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6"/>
      <c r="CY14" s="72"/>
      <c r="CZ14" s="36"/>
      <c r="DA14" s="72"/>
      <c r="DB14" s="36"/>
      <c r="DC14" s="72"/>
      <c r="DD14" s="36"/>
      <c r="DE14" s="72"/>
      <c r="DF14" s="36"/>
      <c r="DG14" s="72"/>
      <c r="DH14" s="36"/>
      <c r="DI14" s="72"/>
      <c r="DJ14" s="36"/>
      <c r="DK14" s="72"/>
      <c r="DL14" s="36"/>
      <c r="DM14" s="72"/>
      <c r="DN14" s="36"/>
      <c r="DO14" s="72"/>
      <c r="DP14" s="36"/>
      <c r="DQ14" s="72"/>
      <c r="DR14" s="36"/>
      <c r="DS14" s="72"/>
      <c r="DT14" s="36"/>
      <c r="DU14" s="72"/>
      <c r="DV14" s="37">
        <f t="shared" ref="DV14:DW14" si="18">CX14+CZ14+DB14+DD14+DF14+DH14+DJ14+DL14+DN14+DP14+DR14+DT14</f>
        <v>0</v>
      </c>
      <c r="DW14" s="38">
        <f t="shared" si="18"/>
        <v>0</v>
      </c>
      <c r="DY14" s="39" t="s">
        <v>54</v>
      </c>
    </row>
    <row r="15" spans="1:129" ht="15.75" customHeight="1">
      <c r="A15" s="25">
        <f t="shared" si="14"/>
        <v>7</v>
      </c>
      <c r="B15" s="26" t="str">
        <f>'BASE DE DATOS'!C16</f>
        <v>TI</v>
      </c>
      <c r="C15" s="27">
        <f>'BASE DE DATOS'!D16</f>
        <v>1141120978</v>
      </c>
      <c r="D15" s="28" t="str">
        <f>'BASE DE DATOS'!B16</f>
        <v>YULIETH VALENTINA CAICEDO SALCEDO</v>
      </c>
      <c r="E15" s="29" t="s">
        <v>48</v>
      </c>
      <c r="F15" s="30" t="str">
        <f t="shared" si="2"/>
        <v/>
      </c>
      <c r="G15" s="40">
        <f t="shared" si="3"/>
        <v>5</v>
      </c>
      <c r="H15" s="41">
        <f t="shared" si="4"/>
        <v>0</v>
      </c>
      <c r="I15" s="41">
        <f t="shared" si="5"/>
        <v>0</v>
      </c>
      <c r="J15" s="41">
        <f t="shared" si="6"/>
        <v>0</v>
      </c>
      <c r="K15" s="41">
        <f t="shared" si="7"/>
        <v>0</v>
      </c>
      <c r="L15" s="41">
        <f t="shared" si="8"/>
        <v>0</v>
      </c>
      <c r="M15" s="32">
        <f t="shared" si="9"/>
        <v>0</v>
      </c>
      <c r="N15" s="33">
        <f t="shared" si="10"/>
        <v>0</v>
      </c>
      <c r="O15" s="42">
        <f t="shared" si="11"/>
        <v>0</v>
      </c>
      <c r="P15" s="35" t="s">
        <v>40</v>
      </c>
      <c r="Q15" s="35" t="s">
        <v>40</v>
      </c>
      <c r="R15" s="35" t="s">
        <v>40</v>
      </c>
      <c r="S15" s="35"/>
      <c r="T15" s="35"/>
      <c r="U15" s="35"/>
      <c r="V15" s="35" t="s">
        <v>40</v>
      </c>
      <c r="W15" s="35" t="s">
        <v>40</v>
      </c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6"/>
      <c r="CY15" s="72"/>
      <c r="CZ15" s="36"/>
      <c r="DA15" s="72"/>
      <c r="DB15" s="36"/>
      <c r="DC15" s="72"/>
      <c r="DD15" s="36"/>
      <c r="DE15" s="72"/>
      <c r="DF15" s="36"/>
      <c r="DG15" s="72"/>
      <c r="DH15" s="36"/>
      <c r="DI15" s="72"/>
      <c r="DJ15" s="36"/>
      <c r="DK15" s="72"/>
      <c r="DL15" s="36"/>
      <c r="DM15" s="72"/>
      <c r="DN15" s="36"/>
      <c r="DO15" s="72"/>
      <c r="DP15" s="36"/>
      <c r="DQ15" s="72"/>
      <c r="DR15" s="36"/>
      <c r="DS15" s="72"/>
      <c r="DT15" s="36"/>
      <c r="DU15" s="72"/>
      <c r="DV15" s="37">
        <f t="shared" ref="DV15:DW15" si="19">CX15+CZ15+DB15+DD15+DF15+DH15+DJ15+DL15+DN15+DP15+DR15+DT15</f>
        <v>0</v>
      </c>
      <c r="DW15" s="38">
        <f t="shared" si="19"/>
        <v>0</v>
      </c>
      <c r="DY15" s="39" t="s">
        <v>55</v>
      </c>
    </row>
    <row r="16" spans="1:129" ht="15.75" customHeight="1">
      <c r="A16" s="25">
        <f t="shared" si="14"/>
        <v>8</v>
      </c>
      <c r="B16" s="26" t="str">
        <f>'BASE DE DATOS'!C17</f>
        <v>TI</v>
      </c>
      <c r="C16" s="27">
        <f>'BASE DE DATOS'!D17</f>
        <v>1028493847</v>
      </c>
      <c r="D16" s="28" t="str">
        <f>'BASE DE DATOS'!B17</f>
        <v>MARIANA SOFIA CANGREJO CRUZ</v>
      </c>
      <c r="E16" s="29" t="s">
        <v>48</v>
      </c>
      <c r="F16" s="30" t="str">
        <f t="shared" si="2"/>
        <v/>
      </c>
      <c r="G16" s="40">
        <f t="shared" si="3"/>
        <v>5</v>
      </c>
      <c r="H16" s="41">
        <f t="shared" si="4"/>
        <v>0</v>
      </c>
      <c r="I16" s="41">
        <f t="shared" si="5"/>
        <v>0</v>
      </c>
      <c r="J16" s="41">
        <f t="shared" si="6"/>
        <v>0</v>
      </c>
      <c r="K16" s="41">
        <f t="shared" si="7"/>
        <v>0</v>
      </c>
      <c r="L16" s="41">
        <f t="shared" si="8"/>
        <v>0</v>
      </c>
      <c r="M16" s="32">
        <f t="shared" si="9"/>
        <v>0</v>
      </c>
      <c r="N16" s="33">
        <f t="shared" si="10"/>
        <v>0</v>
      </c>
      <c r="O16" s="42">
        <f t="shared" si="11"/>
        <v>0</v>
      </c>
      <c r="P16" s="35" t="s">
        <v>40</v>
      </c>
      <c r="Q16" s="35" t="s">
        <v>40</v>
      </c>
      <c r="R16" s="35" t="s">
        <v>40</v>
      </c>
      <c r="S16" s="35"/>
      <c r="T16" s="35"/>
      <c r="U16" s="35"/>
      <c r="V16" s="35" t="s">
        <v>40</v>
      </c>
      <c r="W16" s="35" t="s">
        <v>40</v>
      </c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6"/>
      <c r="CY16" s="72"/>
      <c r="CZ16" s="36"/>
      <c r="DA16" s="72"/>
      <c r="DB16" s="36"/>
      <c r="DC16" s="72"/>
      <c r="DD16" s="36"/>
      <c r="DE16" s="72"/>
      <c r="DF16" s="36"/>
      <c r="DG16" s="72"/>
      <c r="DH16" s="36"/>
      <c r="DI16" s="72"/>
      <c r="DJ16" s="36"/>
      <c r="DK16" s="72"/>
      <c r="DL16" s="36"/>
      <c r="DM16" s="72"/>
      <c r="DN16" s="36"/>
      <c r="DO16" s="72"/>
      <c r="DP16" s="36"/>
      <c r="DQ16" s="72"/>
      <c r="DR16" s="36"/>
      <c r="DS16" s="72"/>
      <c r="DT16" s="36"/>
      <c r="DU16" s="72"/>
      <c r="DV16" s="37">
        <f t="shared" ref="DV16:DW16" si="20">CX16+CZ16+DB16+DD16+DF16+DH16+DJ16+DL16+DN16+DP16+DR16+DT16</f>
        <v>0</v>
      </c>
      <c r="DW16" s="38">
        <f t="shared" si="20"/>
        <v>0</v>
      </c>
      <c r="DY16" s="39" t="s">
        <v>56</v>
      </c>
    </row>
    <row r="17" spans="1:129" ht="15.75" customHeight="1">
      <c r="A17" s="25">
        <f t="shared" si="14"/>
        <v>9</v>
      </c>
      <c r="B17" s="26" t="str">
        <f>'BASE DE DATOS'!C18</f>
        <v>TI</v>
      </c>
      <c r="C17" s="27">
        <f>'BASE DE DATOS'!D18</f>
        <v>1031825573</v>
      </c>
      <c r="D17" s="28" t="str">
        <f>'BASE DE DATOS'!B18</f>
        <v>LAURA VALENTINA CAPACHO SALAZAR</v>
      </c>
      <c r="E17" s="29" t="s">
        <v>48</v>
      </c>
      <c r="F17" s="30" t="str">
        <f t="shared" si="2"/>
        <v/>
      </c>
      <c r="G17" s="40">
        <f t="shared" si="3"/>
        <v>5</v>
      </c>
      <c r="H17" s="41">
        <f t="shared" si="4"/>
        <v>0</v>
      </c>
      <c r="I17" s="41">
        <f t="shared" si="5"/>
        <v>0</v>
      </c>
      <c r="J17" s="41">
        <f t="shared" si="6"/>
        <v>0</v>
      </c>
      <c r="K17" s="41">
        <f t="shared" si="7"/>
        <v>0</v>
      </c>
      <c r="L17" s="41">
        <f t="shared" si="8"/>
        <v>0</v>
      </c>
      <c r="M17" s="32">
        <f t="shared" si="9"/>
        <v>0</v>
      </c>
      <c r="N17" s="33">
        <f t="shared" si="10"/>
        <v>0</v>
      </c>
      <c r="O17" s="42">
        <f t="shared" si="11"/>
        <v>0</v>
      </c>
      <c r="P17" s="35" t="s">
        <v>40</v>
      </c>
      <c r="Q17" s="35" t="s">
        <v>40</v>
      </c>
      <c r="R17" s="35" t="s">
        <v>40</v>
      </c>
      <c r="S17" s="35"/>
      <c r="T17" s="35"/>
      <c r="U17" s="35"/>
      <c r="V17" s="35" t="s">
        <v>40</v>
      </c>
      <c r="W17" s="35" t="s">
        <v>40</v>
      </c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6"/>
      <c r="CY17" s="72"/>
      <c r="CZ17" s="36"/>
      <c r="DA17" s="72"/>
      <c r="DB17" s="36"/>
      <c r="DC17" s="72"/>
      <c r="DD17" s="36"/>
      <c r="DE17" s="72"/>
      <c r="DF17" s="36"/>
      <c r="DG17" s="72"/>
      <c r="DH17" s="36"/>
      <c r="DI17" s="72"/>
      <c r="DJ17" s="36"/>
      <c r="DK17" s="72"/>
      <c r="DL17" s="36"/>
      <c r="DM17" s="72"/>
      <c r="DN17" s="36"/>
      <c r="DO17" s="72"/>
      <c r="DP17" s="36"/>
      <c r="DQ17" s="72"/>
      <c r="DR17" s="36"/>
      <c r="DS17" s="72"/>
      <c r="DT17" s="36"/>
      <c r="DU17" s="72"/>
      <c r="DV17" s="37">
        <f t="shared" ref="DV17:DW17" si="21">CX17+CZ17+DB17+DD17+DF17+DH17+DJ17+DL17+DN17+DP17+DR17+DT17</f>
        <v>0</v>
      </c>
      <c r="DW17" s="38">
        <f t="shared" si="21"/>
        <v>0</v>
      </c>
      <c r="DY17" s="39" t="s">
        <v>57</v>
      </c>
    </row>
    <row r="18" spans="1:129" ht="15.75" customHeight="1">
      <c r="A18" s="25">
        <f t="shared" si="14"/>
        <v>10</v>
      </c>
      <c r="B18" s="26" t="str">
        <f>'BASE DE DATOS'!C19</f>
        <v>TI</v>
      </c>
      <c r="C18" s="27">
        <f>'BASE DE DATOS'!D19</f>
        <v>1145927122</v>
      </c>
      <c r="D18" s="28" t="str">
        <f>'BASE DE DATOS'!B19</f>
        <v>ALLISON SARITH CHAPPARRO VARGAS</v>
      </c>
      <c r="E18" s="29" t="s">
        <v>48</v>
      </c>
      <c r="F18" s="30" t="str">
        <f t="shared" si="2"/>
        <v/>
      </c>
      <c r="G18" s="40">
        <f t="shared" si="3"/>
        <v>5</v>
      </c>
      <c r="H18" s="41">
        <f t="shared" si="4"/>
        <v>0</v>
      </c>
      <c r="I18" s="41">
        <f t="shared" si="5"/>
        <v>0</v>
      </c>
      <c r="J18" s="41">
        <f t="shared" si="6"/>
        <v>0</v>
      </c>
      <c r="K18" s="41">
        <f t="shared" si="7"/>
        <v>0</v>
      </c>
      <c r="L18" s="41">
        <f t="shared" si="8"/>
        <v>0</v>
      </c>
      <c r="M18" s="32">
        <f t="shared" si="9"/>
        <v>0</v>
      </c>
      <c r="N18" s="33">
        <f t="shared" si="10"/>
        <v>0</v>
      </c>
      <c r="O18" s="42">
        <f t="shared" si="11"/>
        <v>0</v>
      </c>
      <c r="P18" s="35" t="s">
        <v>40</v>
      </c>
      <c r="Q18" s="35" t="s">
        <v>40</v>
      </c>
      <c r="R18" s="35" t="s">
        <v>40</v>
      </c>
      <c r="S18" s="35"/>
      <c r="T18" s="35"/>
      <c r="U18" s="35"/>
      <c r="V18" s="35" t="s">
        <v>40</v>
      </c>
      <c r="W18" s="35" t="s">
        <v>40</v>
      </c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6"/>
      <c r="CY18" s="72"/>
      <c r="CZ18" s="36"/>
      <c r="DA18" s="72"/>
      <c r="DB18" s="36"/>
      <c r="DC18" s="72"/>
      <c r="DD18" s="36"/>
      <c r="DE18" s="72"/>
      <c r="DF18" s="36"/>
      <c r="DG18" s="72"/>
      <c r="DH18" s="36"/>
      <c r="DI18" s="72"/>
      <c r="DJ18" s="36"/>
      <c r="DK18" s="72"/>
      <c r="DL18" s="36"/>
      <c r="DM18" s="72"/>
      <c r="DN18" s="36"/>
      <c r="DO18" s="72"/>
      <c r="DP18" s="36"/>
      <c r="DQ18" s="72"/>
      <c r="DR18" s="36"/>
      <c r="DS18" s="72"/>
      <c r="DT18" s="36"/>
      <c r="DU18" s="72"/>
      <c r="DV18" s="37">
        <f t="shared" ref="DV18:DW18" si="22">CX18+CZ18+DB18+DD18+DF18+DH18+DJ18+DL18+DN18+DP18+DR18+DT18</f>
        <v>0</v>
      </c>
      <c r="DW18" s="38">
        <f t="shared" si="22"/>
        <v>0</v>
      </c>
      <c r="DY18" s="39" t="s">
        <v>58</v>
      </c>
    </row>
    <row r="19" spans="1:129" ht="15.75" customHeight="1">
      <c r="A19" s="25">
        <f t="shared" si="14"/>
        <v>11</v>
      </c>
      <c r="B19" s="26" t="str">
        <f>'BASE DE DATOS'!C20</f>
        <v>TI</v>
      </c>
      <c r="C19" s="27">
        <f>'BASE DE DATOS'!D20</f>
        <v>1141123455</v>
      </c>
      <c r="D19" s="28" t="str">
        <f>'BASE DE DATOS'!B20</f>
        <v>JULIAN DAVID CHAVES CASTAÑEDA</v>
      </c>
      <c r="E19" s="29" t="s">
        <v>48</v>
      </c>
      <c r="F19" s="30" t="str">
        <f t="shared" si="2"/>
        <v/>
      </c>
      <c r="G19" s="40">
        <f t="shared" si="3"/>
        <v>5</v>
      </c>
      <c r="H19" s="41">
        <f t="shared" si="4"/>
        <v>0</v>
      </c>
      <c r="I19" s="41">
        <f t="shared" si="5"/>
        <v>0</v>
      </c>
      <c r="J19" s="41">
        <f t="shared" si="6"/>
        <v>0</v>
      </c>
      <c r="K19" s="41">
        <f t="shared" si="7"/>
        <v>0</v>
      </c>
      <c r="L19" s="41">
        <f t="shared" si="8"/>
        <v>0</v>
      </c>
      <c r="M19" s="32">
        <f t="shared" si="9"/>
        <v>0</v>
      </c>
      <c r="N19" s="33">
        <f t="shared" si="10"/>
        <v>0</v>
      </c>
      <c r="O19" s="42">
        <f t="shared" si="11"/>
        <v>0</v>
      </c>
      <c r="P19" s="35" t="s">
        <v>40</v>
      </c>
      <c r="Q19" s="35" t="s">
        <v>40</v>
      </c>
      <c r="R19" s="35" t="s">
        <v>40</v>
      </c>
      <c r="S19" s="35"/>
      <c r="T19" s="35"/>
      <c r="U19" s="35"/>
      <c r="V19" s="35" t="s">
        <v>40</v>
      </c>
      <c r="W19" s="35" t="s">
        <v>40</v>
      </c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6"/>
      <c r="CY19" s="72"/>
      <c r="CZ19" s="36"/>
      <c r="DA19" s="72"/>
      <c r="DB19" s="36"/>
      <c r="DC19" s="72"/>
      <c r="DD19" s="36"/>
      <c r="DE19" s="72"/>
      <c r="DF19" s="36"/>
      <c r="DG19" s="72"/>
      <c r="DH19" s="36"/>
      <c r="DI19" s="72"/>
      <c r="DJ19" s="36"/>
      <c r="DK19" s="72"/>
      <c r="DL19" s="36"/>
      <c r="DM19" s="72"/>
      <c r="DN19" s="36"/>
      <c r="DO19" s="72"/>
      <c r="DP19" s="36"/>
      <c r="DQ19" s="72"/>
      <c r="DR19" s="36"/>
      <c r="DS19" s="72"/>
      <c r="DT19" s="36"/>
      <c r="DU19" s="72"/>
      <c r="DV19" s="37">
        <f t="shared" ref="DV19:DW19" si="23">CX19+CZ19+DB19+DD19+DF19+DH19+DJ19+DL19+DN19+DP19+DR19+DT19</f>
        <v>0</v>
      </c>
      <c r="DW19" s="38">
        <f t="shared" si="23"/>
        <v>0</v>
      </c>
      <c r="DY19" s="39" t="s">
        <v>59</v>
      </c>
    </row>
    <row r="20" spans="1:129" ht="15.75" customHeight="1">
      <c r="A20" s="25">
        <f t="shared" si="14"/>
        <v>12</v>
      </c>
      <c r="B20" s="26" t="str">
        <f>'BASE DE DATOS'!C21</f>
        <v>TI</v>
      </c>
      <c r="C20" s="27">
        <f>'BASE DE DATOS'!D21</f>
        <v>1072990502</v>
      </c>
      <c r="D20" s="28" t="str">
        <f>'BASE DE DATOS'!B21</f>
        <v>SANTIAGO DELGADO ROMERO</v>
      </c>
      <c r="E20" s="29" t="s">
        <v>48</v>
      </c>
      <c r="F20" s="30" t="str">
        <f t="shared" si="2"/>
        <v/>
      </c>
      <c r="G20" s="40">
        <f t="shared" si="3"/>
        <v>5</v>
      </c>
      <c r="H20" s="41">
        <f t="shared" si="4"/>
        <v>0</v>
      </c>
      <c r="I20" s="41">
        <f t="shared" si="5"/>
        <v>0</v>
      </c>
      <c r="J20" s="41">
        <f t="shared" si="6"/>
        <v>0</v>
      </c>
      <c r="K20" s="41">
        <f t="shared" si="7"/>
        <v>0</v>
      </c>
      <c r="L20" s="41">
        <f t="shared" si="8"/>
        <v>0</v>
      </c>
      <c r="M20" s="32">
        <f t="shared" si="9"/>
        <v>0</v>
      </c>
      <c r="N20" s="33">
        <f t="shared" si="10"/>
        <v>0</v>
      </c>
      <c r="O20" s="42">
        <f t="shared" si="11"/>
        <v>0</v>
      </c>
      <c r="P20" s="35" t="s">
        <v>40</v>
      </c>
      <c r="Q20" s="35" t="s">
        <v>40</v>
      </c>
      <c r="R20" s="35" t="s">
        <v>40</v>
      </c>
      <c r="S20" s="35"/>
      <c r="T20" s="35"/>
      <c r="U20" s="35"/>
      <c r="V20" s="35" t="s">
        <v>40</v>
      </c>
      <c r="W20" s="35" t="s">
        <v>40</v>
      </c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6"/>
      <c r="CY20" s="72"/>
      <c r="CZ20" s="36"/>
      <c r="DA20" s="72"/>
      <c r="DB20" s="36"/>
      <c r="DC20" s="72"/>
      <c r="DD20" s="36"/>
      <c r="DE20" s="72"/>
      <c r="DF20" s="36"/>
      <c r="DG20" s="72"/>
      <c r="DH20" s="36"/>
      <c r="DI20" s="72"/>
      <c r="DJ20" s="36"/>
      <c r="DK20" s="72"/>
      <c r="DL20" s="36"/>
      <c r="DM20" s="72"/>
      <c r="DN20" s="36"/>
      <c r="DO20" s="72"/>
      <c r="DP20" s="36"/>
      <c r="DQ20" s="72"/>
      <c r="DR20" s="36"/>
      <c r="DS20" s="72"/>
      <c r="DT20" s="36"/>
      <c r="DU20" s="72"/>
      <c r="DV20" s="37">
        <f t="shared" ref="DV20:DW20" si="24">CX20+CZ20+DB20+DD20+DF20+DH20+DJ20+DL20+DN20+DP20+DR20+DT20</f>
        <v>0</v>
      </c>
      <c r="DW20" s="38">
        <f t="shared" si="24"/>
        <v>0</v>
      </c>
      <c r="DY20" s="39"/>
    </row>
    <row r="21" spans="1:129" ht="15.75" customHeight="1">
      <c r="A21" s="25">
        <f t="shared" si="14"/>
        <v>13</v>
      </c>
      <c r="B21" s="26" t="str">
        <f>'BASE DE DATOS'!C22</f>
        <v>TI</v>
      </c>
      <c r="C21" s="27">
        <f>'BASE DE DATOS'!D22</f>
        <v>1141121806</v>
      </c>
      <c r="D21" s="28" t="str">
        <f>'BASE DE DATOS'!B22</f>
        <v>DANIELA DIAZ CLAVIJO</v>
      </c>
      <c r="E21" s="29" t="s">
        <v>48</v>
      </c>
      <c r="F21" s="30" t="str">
        <f t="shared" si="2"/>
        <v/>
      </c>
      <c r="G21" s="40">
        <f t="shared" si="3"/>
        <v>5</v>
      </c>
      <c r="H21" s="41">
        <f t="shared" si="4"/>
        <v>0</v>
      </c>
      <c r="I21" s="41">
        <f t="shared" si="5"/>
        <v>0</v>
      </c>
      <c r="J21" s="41">
        <f t="shared" si="6"/>
        <v>0</v>
      </c>
      <c r="K21" s="41">
        <f t="shared" si="7"/>
        <v>0</v>
      </c>
      <c r="L21" s="41">
        <f t="shared" si="8"/>
        <v>0</v>
      </c>
      <c r="M21" s="32">
        <f t="shared" si="9"/>
        <v>0</v>
      </c>
      <c r="N21" s="33">
        <f t="shared" si="10"/>
        <v>0</v>
      </c>
      <c r="O21" s="42">
        <f t="shared" si="11"/>
        <v>0</v>
      </c>
      <c r="P21" s="35" t="s">
        <v>40</v>
      </c>
      <c r="Q21" s="35" t="s">
        <v>40</v>
      </c>
      <c r="R21" s="35" t="s">
        <v>40</v>
      </c>
      <c r="S21" s="35"/>
      <c r="T21" s="35"/>
      <c r="U21" s="35"/>
      <c r="V21" s="35" t="s">
        <v>40</v>
      </c>
      <c r="W21" s="35" t="s">
        <v>40</v>
      </c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6"/>
      <c r="CY21" s="72"/>
      <c r="CZ21" s="36"/>
      <c r="DA21" s="72"/>
      <c r="DB21" s="36"/>
      <c r="DC21" s="72"/>
      <c r="DD21" s="36"/>
      <c r="DE21" s="72"/>
      <c r="DF21" s="36"/>
      <c r="DG21" s="72"/>
      <c r="DH21" s="36"/>
      <c r="DI21" s="72"/>
      <c r="DJ21" s="36"/>
      <c r="DK21" s="72"/>
      <c r="DL21" s="36"/>
      <c r="DM21" s="72"/>
      <c r="DN21" s="36"/>
      <c r="DO21" s="72"/>
      <c r="DP21" s="36"/>
      <c r="DQ21" s="72"/>
      <c r="DR21" s="36"/>
      <c r="DS21" s="72"/>
      <c r="DT21" s="36"/>
      <c r="DU21" s="72"/>
      <c r="DV21" s="37">
        <f t="shared" ref="DV21:DW21" si="25">CX21+CZ21+DB21+DD21+DF21+DH21+DJ21+DL21+DN21+DP21+DR21+DT21</f>
        <v>0</v>
      </c>
      <c r="DW21" s="38">
        <f t="shared" si="25"/>
        <v>0</v>
      </c>
      <c r="DY21" s="39"/>
    </row>
    <row r="22" spans="1:129" ht="15.75" customHeight="1">
      <c r="A22" s="25">
        <f t="shared" si="14"/>
        <v>14</v>
      </c>
      <c r="B22" s="26" t="str">
        <f>'BASE DE DATOS'!C23</f>
        <v>TI</v>
      </c>
      <c r="C22" s="27">
        <f>'BASE DE DATOS'!D23</f>
        <v>1141121807</v>
      </c>
      <c r="D22" s="28" t="str">
        <f>'BASE DE DATOS'!B23</f>
        <v>JULIANA DIAZ CLAVIJO</v>
      </c>
      <c r="E22" s="29" t="s">
        <v>48</v>
      </c>
      <c r="F22" s="30" t="str">
        <f t="shared" si="2"/>
        <v/>
      </c>
      <c r="G22" s="40">
        <f t="shared" si="3"/>
        <v>5</v>
      </c>
      <c r="H22" s="41">
        <f t="shared" si="4"/>
        <v>0</v>
      </c>
      <c r="I22" s="41">
        <f t="shared" si="5"/>
        <v>0</v>
      </c>
      <c r="J22" s="41">
        <f t="shared" si="6"/>
        <v>0</v>
      </c>
      <c r="K22" s="41">
        <f t="shared" si="7"/>
        <v>0</v>
      </c>
      <c r="L22" s="41">
        <f t="shared" si="8"/>
        <v>0</v>
      </c>
      <c r="M22" s="32">
        <f t="shared" si="9"/>
        <v>0</v>
      </c>
      <c r="N22" s="33">
        <f t="shared" si="10"/>
        <v>0</v>
      </c>
      <c r="O22" s="42">
        <f t="shared" si="11"/>
        <v>0</v>
      </c>
      <c r="P22" s="35" t="s">
        <v>40</v>
      </c>
      <c r="Q22" s="35" t="s">
        <v>40</v>
      </c>
      <c r="R22" s="35" t="s">
        <v>40</v>
      </c>
      <c r="S22" s="35"/>
      <c r="T22" s="35"/>
      <c r="U22" s="35"/>
      <c r="V22" s="35" t="s">
        <v>40</v>
      </c>
      <c r="W22" s="35" t="s">
        <v>40</v>
      </c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6"/>
      <c r="CY22" s="72"/>
      <c r="CZ22" s="36"/>
      <c r="DA22" s="72"/>
      <c r="DB22" s="36"/>
      <c r="DC22" s="72"/>
      <c r="DD22" s="36"/>
      <c r="DE22" s="72"/>
      <c r="DF22" s="36"/>
      <c r="DG22" s="72"/>
      <c r="DH22" s="36"/>
      <c r="DI22" s="72"/>
      <c r="DJ22" s="36"/>
      <c r="DK22" s="72"/>
      <c r="DL22" s="36"/>
      <c r="DM22" s="72"/>
      <c r="DN22" s="36"/>
      <c r="DO22" s="72"/>
      <c r="DP22" s="36"/>
      <c r="DQ22" s="72"/>
      <c r="DR22" s="36"/>
      <c r="DS22" s="72"/>
      <c r="DT22" s="36"/>
      <c r="DU22" s="72"/>
      <c r="DV22" s="37">
        <f t="shared" ref="DV22:DW22" si="26">CX22+CZ22+DB22+DD22+DF22+DH22+DJ22+DL22+DN22+DP22+DR22+DT22</f>
        <v>0</v>
      </c>
      <c r="DW22" s="38">
        <f t="shared" si="26"/>
        <v>0</v>
      </c>
      <c r="DY22" s="39"/>
    </row>
    <row r="23" spans="1:129" ht="15.75" customHeight="1">
      <c r="A23" s="25">
        <f t="shared" si="14"/>
        <v>15</v>
      </c>
      <c r="B23" s="26" t="str">
        <f>'BASE DE DATOS'!C24</f>
        <v>TI</v>
      </c>
      <c r="C23" s="27">
        <f>'BASE DE DATOS'!D24</f>
        <v>1016043063</v>
      </c>
      <c r="D23" s="28" t="str">
        <f>'BASE DE DATOS'!B24</f>
        <v>MARIANA ESPITIA DE LA CRUZ</v>
      </c>
      <c r="E23" s="29" t="s">
        <v>48</v>
      </c>
      <c r="F23" s="30" t="str">
        <f t="shared" si="2"/>
        <v/>
      </c>
      <c r="G23" s="40">
        <f t="shared" si="3"/>
        <v>5</v>
      </c>
      <c r="H23" s="41">
        <f t="shared" si="4"/>
        <v>0</v>
      </c>
      <c r="I23" s="41">
        <f t="shared" si="5"/>
        <v>0</v>
      </c>
      <c r="J23" s="41">
        <f t="shared" si="6"/>
        <v>0</v>
      </c>
      <c r="K23" s="41">
        <f t="shared" si="7"/>
        <v>0</v>
      </c>
      <c r="L23" s="41">
        <f t="shared" si="8"/>
        <v>0</v>
      </c>
      <c r="M23" s="32">
        <f t="shared" si="9"/>
        <v>0</v>
      </c>
      <c r="N23" s="33">
        <f t="shared" si="10"/>
        <v>0</v>
      </c>
      <c r="O23" s="42">
        <f t="shared" si="11"/>
        <v>0</v>
      </c>
      <c r="P23" s="35" t="s">
        <v>40</v>
      </c>
      <c r="Q23" s="35" t="s">
        <v>40</v>
      </c>
      <c r="R23" s="35" t="s">
        <v>40</v>
      </c>
      <c r="S23" s="35"/>
      <c r="T23" s="35"/>
      <c r="U23" s="35"/>
      <c r="V23" s="35" t="s">
        <v>40</v>
      </c>
      <c r="W23" s="35" t="s">
        <v>40</v>
      </c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6"/>
      <c r="CY23" s="72"/>
      <c r="CZ23" s="36"/>
      <c r="DA23" s="72"/>
      <c r="DB23" s="36"/>
      <c r="DC23" s="72"/>
      <c r="DD23" s="36"/>
      <c r="DE23" s="72"/>
      <c r="DF23" s="36"/>
      <c r="DG23" s="72"/>
      <c r="DH23" s="36"/>
      <c r="DI23" s="72"/>
      <c r="DJ23" s="36"/>
      <c r="DK23" s="72"/>
      <c r="DL23" s="36"/>
      <c r="DM23" s="72"/>
      <c r="DN23" s="36"/>
      <c r="DO23" s="72"/>
      <c r="DP23" s="36"/>
      <c r="DQ23" s="72"/>
      <c r="DR23" s="36"/>
      <c r="DS23" s="72"/>
      <c r="DT23" s="36"/>
      <c r="DU23" s="72"/>
      <c r="DV23" s="37">
        <f t="shared" ref="DV23:DW23" si="27">CX23+CZ23+DB23+DD23+DF23+DH23+DJ23+DL23+DN23+DP23+DR23+DT23</f>
        <v>0</v>
      </c>
      <c r="DW23" s="38">
        <f t="shared" si="27"/>
        <v>0</v>
      </c>
      <c r="DY23" s="39"/>
    </row>
    <row r="24" spans="1:129" ht="15.75" customHeight="1">
      <c r="A24" s="25">
        <f t="shared" si="14"/>
        <v>16</v>
      </c>
      <c r="B24" s="26" t="str">
        <f>'BASE DE DATOS'!C25</f>
        <v>TI</v>
      </c>
      <c r="C24" s="27">
        <f>'BASE DE DATOS'!D25</f>
        <v>1016033641</v>
      </c>
      <c r="D24" s="28" t="str">
        <f>'BASE DE DATOS'!B25</f>
        <v>ANGIE LIZETH HERNANDEZ MARTINEZ</v>
      </c>
      <c r="E24" s="29" t="s">
        <v>48</v>
      </c>
      <c r="F24" s="30" t="str">
        <f t="shared" si="2"/>
        <v/>
      </c>
      <c r="G24" s="40">
        <f t="shared" si="3"/>
        <v>5</v>
      </c>
      <c r="H24" s="41">
        <f t="shared" si="4"/>
        <v>0</v>
      </c>
      <c r="I24" s="41">
        <f t="shared" si="5"/>
        <v>0</v>
      </c>
      <c r="J24" s="41">
        <f t="shared" si="6"/>
        <v>0</v>
      </c>
      <c r="K24" s="41">
        <f t="shared" si="7"/>
        <v>0</v>
      </c>
      <c r="L24" s="41">
        <f t="shared" si="8"/>
        <v>0</v>
      </c>
      <c r="M24" s="32">
        <f t="shared" si="9"/>
        <v>0</v>
      </c>
      <c r="N24" s="33">
        <f t="shared" si="10"/>
        <v>0</v>
      </c>
      <c r="O24" s="42">
        <f t="shared" si="11"/>
        <v>0</v>
      </c>
      <c r="P24" s="35" t="s">
        <v>40</v>
      </c>
      <c r="Q24" s="35" t="s">
        <v>40</v>
      </c>
      <c r="R24" s="35" t="s">
        <v>40</v>
      </c>
      <c r="S24" s="35"/>
      <c r="T24" s="35"/>
      <c r="U24" s="35"/>
      <c r="V24" s="35" t="s">
        <v>40</v>
      </c>
      <c r="W24" s="35" t="s">
        <v>40</v>
      </c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6"/>
      <c r="CY24" s="72"/>
      <c r="CZ24" s="36"/>
      <c r="DA24" s="72"/>
      <c r="DB24" s="36"/>
      <c r="DC24" s="72"/>
      <c r="DD24" s="36"/>
      <c r="DE24" s="72"/>
      <c r="DF24" s="36"/>
      <c r="DG24" s="72"/>
      <c r="DH24" s="36"/>
      <c r="DI24" s="72"/>
      <c r="DJ24" s="36"/>
      <c r="DK24" s="72"/>
      <c r="DL24" s="36"/>
      <c r="DM24" s="72"/>
      <c r="DN24" s="36"/>
      <c r="DO24" s="72"/>
      <c r="DP24" s="36"/>
      <c r="DQ24" s="72"/>
      <c r="DR24" s="36"/>
      <c r="DS24" s="72"/>
      <c r="DT24" s="36"/>
      <c r="DU24" s="72"/>
      <c r="DV24" s="37">
        <f t="shared" ref="DV24:DW24" si="28">CX24+CZ24+DB24+DD24+DF24+DH24+DJ24+DL24+DN24+DP24+DR24+DT24</f>
        <v>0</v>
      </c>
      <c r="DW24" s="38">
        <f t="shared" si="28"/>
        <v>0</v>
      </c>
      <c r="DY24" s="39"/>
    </row>
    <row r="25" spans="1:129" ht="15.75" customHeight="1">
      <c r="A25" s="25">
        <f t="shared" si="14"/>
        <v>17</v>
      </c>
      <c r="B25" s="26" t="str">
        <f>'BASE DE DATOS'!C26</f>
        <v>TI</v>
      </c>
      <c r="C25" s="27">
        <f>'BASE DE DATOS'!D26</f>
        <v>1028888399</v>
      </c>
      <c r="D25" s="28" t="str">
        <f>'BASE DE DATOS'!B26</f>
        <v>MARIA PAULA IBARRA SUAREZ</v>
      </c>
      <c r="E25" s="29" t="s">
        <v>48</v>
      </c>
      <c r="F25" s="30" t="str">
        <f t="shared" si="2"/>
        <v>CON FALTAS</v>
      </c>
      <c r="G25" s="40">
        <f t="shared" si="3"/>
        <v>3</v>
      </c>
      <c r="H25" s="41">
        <f t="shared" si="4"/>
        <v>0</v>
      </c>
      <c r="I25" s="41">
        <f t="shared" si="5"/>
        <v>2</v>
      </c>
      <c r="J25" s="41">
        <f t="shared" si="6"/>
        <v>0</v>
      </c>
      <c r="K25" s="41">
        <f t="shared" si="7"/>
        <v>0</v>
      </c>
      <c r="L25" s="41">
        <f t="shared" si="8"/>
        <v>0</v>
      </c>
      <c r="M25" s="32">
        <f t="shared" si="9"/>
        <v>0</v>
      </c>
      <c r="N25" s="33">
        <f t="shared" si="10"/>
        <v>0</v>
      </c>
      <c r="O25" s="42">
        <f t="shared" si="11"/>
        <v>0.4</v>
      </c>
      <c r="P25" s="35" t="s">
        <v>40</v>
      </c>
      <c r="Q25" s="35" t="s">
        <v>40</v>
      </c>
      <c r="R25" s="35" t="s">
        <v>40</v>
      </c>
      <c r="S25" s="35"/>
      <c r="T25" s="35"/>
      <c r="U25" s="35"/>
      <c r="V25" s="35" t="s">
        <v>13</v>
      </c>
      <c r="W25" s="35" t="s">
        <v>13</v>
      </c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6"/>
      <c r="CY25" s="72"/>
      <c r="CZ25" s="36"/>
      <c r="DA25" s="72"/>
      <c r="DB25" s="36"/>
      <c r="DC25" s="72"/>
      <c r="DD25" s="36"/>
      <c r="DE25" s="72"/>
      <c r="DF25" s="36"/>
      <c r="DG25" s="72"/>
      <c r="DH25" s="36"/>
      <c r="DI25" s="72"/>
      <c r="DJ25" s="36"/>
      <c r="DK25" s="72"/>
      <c r="DL25" s="36"/>
      <c r="DM25" s="72"/>
      <c r="DN25" s="36"/>
      <c r="DO25" s="72"/>
      <c r="DP25" s="36"/>
      <c r="DQ25" s="72"/>
      <c r="DR25" s="36"/>
      <c r="DS25" s="72"/>
      <c r="DT25" s="36"/>
      <c r="DU25" s="72"/>
      <c r="DV25" s="37">
        <f t="shared" ref="DV25:DW25" si="29">CX25+CZ25+DB25+DD25+DF25+DH25+DJ25+DL25+DN25+DP25+DR25+DT25</f>
        <v>0</v>
      </c>
      <c r="DW25" s="38">
        <f t="shared" si="29"/>
        <v>0</v>
      </c>
      <c r="DY25" s="39"/>
    </row>
    <row r="26" spans="1:129" ht="15.75" customHeight="1">
      <c r="A26" s="25">
        <f t="shared" si="14"/>
        <v>18</v>
      </c>
      <c r="B26" s="26" t="str">
        <f>'BASE DE DATOS'!C27</f>
        <v>TI</v>
      </c>
      <c r="C26" s="27">
        <f>'BASE DE DATOS'!D27</f>
        <v>1016956103</v>
      </c>
      <c r="D26" s="28" t="str">
        <f>'BASE DE DATOS'!B27</f>
        <v>JULIETH SOFIA MARTINEZ NUMPAQUE</v>
      </c>
      <c r="E26" s="29" t="s">
        <v>48</v>
      </c>
      <c r="F26" s="30" t="str">
        <f t="shared" si="2"/>
        <v/>
      </c>
      <c r="G26" s="40">
        <f t="shared" si="3"/>
        <v>5</v>
      </c>
      <c r="H26" s="41">
        <f t="shared" si="4"/>
        <v>0</v>
      </c>
      <c r="I26" s="41">
        <f t="shared" si="5"/>
        <v>0</v>
      </c>
      <c r="J26" s="41">
        <f t="shared" si="6"/>
        <v>0</v>
      </c>
      <c r="K26" s="41">
        <f t="shared" si="7"/>
        <v>0</v>
      </c>
      <c r="L26" s="41">
        <f t="shared" si="8"/>
        <v>0</v>
      </c>
      <c r="M26" s="32">
        <f t="shared" si="9"/>
        <v>0</v>
      </c>
      <c r="N26" s="33">
        <f t="shared" si="10"/>
        <v>0</v>
      </c>
      <c r="O26" s="42">
        <f t="shared" si="11"/>
        <v>0</v>
      </c>
      <c r="P26" s="35" t="s">
        <v>40</v>
      </c>
      <c r="Q26" s="35" t="s">
        <v>40</v>
      </c>
      <c r="R26" s="35" t="s">
        <v>40</v>
      </c>
      <c r="S26" s="35"/>
      <c r="T26" s="35"/>
      <c r="U26" s="35"/>
      <c r="V26" s="35" t="s">
        <v>40</v>
      </c>
      <c r="W26" s="35" t="s">
        <v>40</v>
      </c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6"/>
      <c r="CY26" s="72"/>
      <c r="CZ26" s="36"/>
      <c r="DA26" s="72"/>
      <c r="DB26" s="36"/>
      <c r="DC26" s="72"/>
      <c r="DD26" s="36"/>
      <c r="DE26" s="72"/>
      <c r="DF26" s="36"/>
      <c r="DG26" s="72"/>
      <c r="DH26" s="36"/>
      <c r="DI26" s="72"/>
      <c r="DJ26" s="36"/>
      <c r="DK26" s="72"/>
      <c r="DL26" s="36"/>
      <c r="DM26" s="72"/>
      <c r="DN26" s="36"/>
      <c r="DO26" s="72"/>
      <c r="DP26" s="36"/>
      <c r="DQ26" s="72"/>
      <c r="DR26" s="36"/>
      <c r="DS26" s="72"/>
      <c r="DT26" s="36"/>
      <c r="DU26" s="72"/>
      <c r="DV26" s="37">
        <f t="shared" ref="DV26:DW26" si="30">CX26+CZ26+DB26+DD26+DF26+DH26+DJ26+DL26+DN26+DP26+DR26+DT26</f>
        <v>0</v>
      </c>
      <c r="DW26" s="38">
        <f t="shared" si="30"/>
        <v>0</v>
      </c>
      <c r="DY26" s="39"/>
    </row>
    <row r="27" spans="1:129" ht="15.75" customHeight="1">
      <c r="A27" s="25">
        <f t="shared" si="14"/>
        <v>19</v>
      </c>
      <c r="B27" s="26" t="str">
        <f>'BASE DE DATOS'!C28</f>
        <v>TI</v>
      </c>
      <c r="C27" s="27">
        <f>'BASE DE DATOS'!D28</f>
        <v>1141125073</v>
      </c>
      <c r="D27" s="28" t="str">
        <f>'BASE DE DATOS'!B28</f>
        <v>JUAN DAVID MARTINEZMARTINEZ</v>
      </c>
      <c r="E27" s="29" t="s">
        <v>48</v>
      </c>
      <c r="F27" s="30" t="str">
        <f t="shared" si="2"/>
        <v/>
      </c>
      <c r="G27" s="40">
        <f t="shared" si="3"/>
        <v>5</v>
      </c>
      <c r="H27" s="41">
        <f t="shared" si="4"/>
        <v>0</v>
      </c>
      <c r="I27" s="41">
        <f t="shared" si="5"/>
        <v>0</v>
      </c>
      <c r="J27" s="41">
        <f t="shared" si="6"/>
        <v>0</v>
      </c>
      <c r="K27" s="41">
        <f t="shared" si="7"/>
        <v>0</v>
      </c>
      <c r="L27" s="41">
        <f t="shared" si="8"/>
        <v>0</v>
      </c>
      <c r="M27" s="32">
        <f t="shared" si="9"/>
        <v>0</v>
      </c>
      <c r="N27" s="33">
        <f t="shared" si="10"/>
        <v>0</v>
      </c>
      <c r="O27" s="42">
        <f t="shared" si="11"/>
        <v>0</v>
      </c>
      <c r="P27" s="35" t="s">
        <v>40</v>
      </c>
      <c r="Q27" s="35" t="s">
        <v>40</v>
      </c>
      <c r="R27" s="35" t="s">
        <v>40</v>
      </c>
      <c r="S27" s="35"/>
      <c r="T27" s="35"/>
      <c r="U27" s="35"/>
      <c r="V27" s="35" t="s">
        <v>40</v>
      </c>
      <c r="W27" s="35" t="s">
        <v>40</v>
      </c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6"/>
      <c r="CY27" s="72"/>
      <c r="CZ27" s="36"/>
      <c r="DA27" s="72"/>
      <c r="DB27" s="36"/>
      <c r="DC27" s="72"/>
      <c r="DD27" s="36"/>
      <c r="DE27" s="72"/>
      <c r="DF27" s="36"/>
      <c r="DG27" s="72"/>
      <c r="DH27" s="36"/>
      <c r="DI27" s="72"/>
      <c r="DJ27" s="36"/>
      <c r="DK27" s="72"/>
      <c r="DL27" s="36"/>
      <c r="DM27" s="72"/>
      <c r="DN27" s="36"/>
      <c r="DO27" s="72"/>
      <c r="DP27" s="36"/>
      <c r="DQ27" s="72"/>
      <c r="DR27" s="36"/>
      <c r="DS27" s="72"/>
      <c r="DT27" s="36"/>
      <c r="DU27" s="72"/>
      <c r="DV27" s="37">
        <f t="shared" ref="DV27:DW27" si="31">CX27+CZ27+DB27+DD27+DF27+DH27+DJ27+DL27+DN27+DP27+DR27+DT27</f>
        <v>0</v>
      </c>
      <c r="DW27" s="38">
        <f t="shared" si="31"/>
        <v>0</v>
      </c>
      <c r="DY27" s="39"/>
    </row>
    <row r="28" spans="1:129" ht="15.75" customHeight="1">
      <c r="A28" s="25">
        <f t="shared" si="14"/>
        <v>20</v>
      </c>
      <c r="B28" s="26" t="str">
        <f>'BASE DE DATOS'!C29</f>
        <v>TI</v>
      </c>
      <c r="C28" s="27">
        <f>'BASE DE DATOS'!D29</f>
        <v>1028944741</v>
      </c>
      <c r="D28" s="28" t="str">
        <f>'BASE DE DATOS'!B29</f>
        <v>JENNIFER ANDREA MATALLANA SANTAMARIA</v>
      </c>
      <c r="E28" s="29" t="s">
        <v>48</v>
      </c>
      <c r="F28" s="30" t="str">
        <f t="shared" si="2"/>
        <v/>
      </c>
      <c r="G28" s="40">
        <f t="shared" si="3"/>
        <v>5</v>
      </c>
      <c r="H28" s="41">
        <f t="shared" si="4"/>
        <v>0</v>
      </c>
      <c r="I28" s="41">
        <f t="shared" si="5"/>
        <v>0</v>
      </c>
      <c r="J28" s="41">
        <f t="shared" si="6"/>
        <v>0</v>
      </c>
      <c r="K28" s="41">
        <f t="shared" si="7"/>
        <v>0</v>
      </c>
      <c r="L28" s="41">
        <f t="shared" si="8"/>
        <v>0</v>
      </c>
      <c r="M28" s="32">
        <f t="shared" si="9"/>
        <v>0</v>
      </c>
      <c r="N28" s="33">
        <f t="shared" si="10"/>
        <v>0</v>
      </c>
      <c r="O28" s="42">
        <f t="shared" si="11"/>
        <v>0</v>
      </c>
      <c r="P28" s="35" t="s">
        <v>40</v>
      </c>
      <c r="Q28" s="35" t="s">
        <v>40</v>
      </c>
      <c r="R28" s="35" t="s">
        <v>40</v>
      </c>
      <c r="S28" s="35"/>
      <c r="T28" s="35"/>
      <c r="U28" s="35"/>
      <c r="V28" s="35" t="s">
        <v>40</v>
      </c>
      <c r="W28" s="35" t="s">
        <v>40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6"/>
      <c r="CY28" s="72"/>
      <c r="CZ28" s="36"/>
      <c r="DA28" s="72"/>
      <c r="DB28" s="36"/>
      <c r="DC28" s="72"/>
      <c r="DD28" s="36"/>
      <c r="DE28" s="72"/>
      <c r="DF28" s="36"/>
      <c r="DG28" s="72"/>
      <c r="DH28" s="36"/>
      <c r="DI28" s="72"/>
      <c r="DJ28" s="36"/>
      <c r="DK28" s="72"/>
      <c r="DL28" s="36"/>
      <c r="DM28" s="72"/>
      <c r="DN28" s="36"/>
      <c r="DO28" s="72"/>
      <c r="DP28" s="36"/>
      <c r="DQ28" s="72"/>
      <c r="DR28" s="36"/>
      <c r="DS28" s="72"/>
      <c r="DT28" s="36"/>
      <c r="DU28" s="72"/>
      <c r="DV28" s="37">
        <f t="shared" ref="DV28:DW28" si="32">CX28+CZ28+DB28+DD28+DF28+DH28+DJ28+DL28+DN28+DP28+DR28+DT28</f>
        <v>0</v>
      </c>
      <c r="DW28" s="38">
        <f t="shared" si="32"/>
        <v>0</v>
      </c>
      <c r="DY28" s="39"/>
    </row>
    <row r="29" spans="1:129" ht="15.75" customHeight="1">
      <c r="A29" s="25">
        <f t="shared" si="14"/>
        <v>21</v>
      </c>
      <c r="B29" s="26" t="str">
        <f>'BASE DE DATOS'!C30</f>
        <v>TI</v>
      </c>
      <c r="C29" s="27">
        <f>'BASE DE DATOS'!D30</f>
        <v>1016955950</v>
      </c>
      <c r="D29" s="28" t="str">
        <f>'BASE DE DATOS'!B30</f>
        <v>JOHAN ALEJANDRO MURCIA QUIJANO</v>
      </c>
      <c r="E29" s="29" t="s">
        <v>48</v>
      </c>
      <c r="F29" s="30" t="str">
        <f t="shared" si="2"/>
        <v/>
      </c>
      <c r="G29" s="40">
        <f t="shared" si="3"/>
        <v>5</v>
      </c>
      <c r="H29" s="41">
        <f t="shared" si="4"/>
        <v>0</v>
      </c>
      <c r="I29" s="41">
        <f t="shared" si="5"/>
        <v>0</v>
      </c>
      <c r="J29" s="41">
        <f t="shared" si="6"/>
        <v>0</v>
      </c>
      <c r="K29" s="41">
        <f t="shared" si="7"/>
        <v>0</v>
      </c>
      <c r="L29" s="41">
        <f t="shared" si="8"/>
        <v>0</v>
      </c>
      <c r="M29" s="32">
        <f t="shared" si="9"/>
        <v>0</v>
      </c>
      <c r="N29" s="33">
        <f t="shared" si="10"/>
        <v>0</v>
      </c>
      <c r="O29" s="42">
        <f t="shared" si="11"/>
        <v>0</v>
      </c>
      <c r="P29" s="35" t="s">
        <v>40</v>
      </c>
      <c r="Q29" s="35" t="s">
        <v>40</v>
      </c>
      <c r="R29" s="35" t="s">
        <v>40</v>
      </c>
      <c r="S29" s="35"/>
      <c r="T29" s="35"/>
      <c r="U29" s="35"/>
      <c r="V29" s="35" t="s">
        <v>40</v>
      </c>
      <c r="W29" s="35" t="s">
        <v>40</v>
      </c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6"/>
      <c r="CY29" s="72"/>
      <c r="CZ29" s="36"/>
      <c r="DA29" s="72"/>
      <c r="DB29" s="36"/>
      <c r="DC29" s="72"/>
      <c r="DD29" s="36"/>
      <c r="DE29" s="72"/>
      <c r="DF29" s="36"/>
      <c r="DG29" s="72"/>
      <c r="DH29" s="36"/>
      <c r="DI29" s="72"/>
      <c r="DJ29" s="36"/>
      <c r="DK29" s="72"/>
      <c r="DL29" s="36"/>
      <c r="DM29" s="72"/>
      <c r="DN29" s="36"/>
      <c r="DO29" s="72"/>
      <c r="DP29" s="36"/>
      <c r="DQ29" s="72"/>
      <c r="DR29" s="36"/>
      <c r="DS29" s="72"/>
      <c r="DT29" s="36"/>
      <c r="DU29" s="72"/>
      <c r="DV29" s="37">
        <f t="shared" ref="DV29:DW29" si="33">CX29+CZ29+DB29+DD29+DF29+DH29+DJ29+DL29+DN29+DP29+DR29+DT29</f>
        <v>0</v>
      </c>
      <c r="DW29" s="38">
        <f t="shared" si="33"/>
        <v>0</v>
      </c>
      <c r="DY29" s="39"/>
    </row>
    <row r="30" spans="1:129" ht="15.75" customHeight="1">
      <c r="A30" s="25">
        <f t="shared" si="14"/>
        <v>22</v>
      </c>
      <c r="B30" s="26" t="str">
        <f>'BASE DE DATOS'!C31</f>
        <v>TI</v>
      </c>
      <c r="C30" s="27">
        <f>'BASE DE DATOS'!D31</f>
        <v>1013648077</v>
      </c>
      <c r="D30" s="28" t="str">
        <f>'BASE DE DATOS'!B31</f>
        <v>SARA VALENTINA NONTOA GÓMEZ</v>
      </c>
      <c r="E30" s="29" t="s">
        <v>48</v>
      </c>
      <c r="F30" s="30" t="str">
        <f t="shared" si="2"/>
        <v/>
      </c>
      <c r="G30" s="40">
        <f t="shared" si="3"/>
        <v>5</v>
      </c>
      <c r="H30" s="41">
        <f t="shared" si="4"/>
        <v>0</v>
      </c>
      <c r="I30" s="41">
        <f t="shared" si="5"/>
        <v>0</v>
      </c>
      <c r="J30" s="41">
        <f t="shared" si="6"/>
        <v>0</v>
      </c>
      <c r="K30" s="41">
        <f t="shared" si="7"/>
        <v>0</v>
      </c>
      <c r="L30" s="41">
        <f t="shared" si="8"/>
        <v>0</v>
      </c>
      <c r="M30" s="32">
        <f t="shared" si="9"/>
        <v>0</v>
      </c>
      <c r="N30" s="33">
        <f t="shared" si="10"/>
        <v>0</v>
      </c>
      <c r="O30" s="42">
        <f t="shared" si="11"/>
        <v>0</v>
      </c>
      <c r="P30" s="35" t="s">
        <v>40</v>
      </c>
      <c r="Q30" s="35" t="s">
        <v>40</v>
      </c>
      <c r="R30" s="35" t="s">
        <v>40</v>
      </c>
      <c r="S30" s="35"/>
      <c r="T30" s="35"/>
      <c r="U30" s="35"/>
      <c r="V30" s="35" t="s">
        <v>40</v>
      </c>
      <c r="W30" s="35" t="s">
        <v>40</v>
      </c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6"/>
      <c r="CY30" s="72"/>
      <c r="CZ30" s="36"/>
      <c r="DA30" s="72"/>
      <c r="DB30" s="36"/>
      <c r="DC30" s="72"/>
      <c r="DD30" s="36"/>
      <c r="DE30" s="72"/>
      <c r="DF30" s="36"/>
      <c r="DG30" s="72"/>
      <c r="DH30" s="36"/>
      <c r="DI30" s="72"/>
      <c r="DJ30" s="36"/>
      <c r="DK30" s="72"/>
      <c r="DL30" s="36"/>
      <c r="DM30" s="72"/>
      <c r="DN30" s="36"/>
      <c r="DO30" s="72"/>
      <c r="DP30" s="36"/>
      <c r="DQ30" s="72"/>
      <c r="DR30" s="36"/>
      <c r="DS30" s="72"/>
      <c r="DT30" s="36"/>
      <c r="DU30" s="72"/>
      <c r="DV30" s="37">
        <f t="shared" ref="DV30:DW30" si="34">CX30+CZ30+DB30+DD30+DF30+DH30+DJ30+DL30+DN30+DP30+DR30+DT30</f>
        <v>0</v>
      </c>
      <c r="DW30" s="38">
        <f t="shared" si="34"/>
        <v>0</v>
      </c>
    </row>
    <row r="31" spans="1:129" ht="15.75" customHeight="1">
      <c r="A31" s="25">
        <f t="shared" si="14"/>
        <v>23</v>
      </c>
      <c r="B31" s="26" t="str">
        <f>'BASE DE DATOS'!C32</f>
        <v>TI</v>
      </c>
      <c r="C31" s="27">
        <f>'BASE DE DATOS'!D32</f>
        <v>1070393748</v>
      </c>
      <c r="D31" s="28" t="str">
        <f>'BASE DE DATOS'!B32</f>
        <v>MARIA CAMILA ORTEGON PEREZ</v>
      </c>
      <c r="E31" s="29" t="s">
        <v>48</v>
      </c>
      <c r="F31" s="30" t="str">
        <f t="shared" si="2"/>
        <v/>
      </c>
      <c r="G31" s="40">
        <f t="shared" si="3"/>
        <v>5</v>
      </c>
      <c r="H31" s="41">
        <f t="shared" si="4"/>
        <v>0</v>
      </c>
      <c r="I31" s="41">
        <f t="shared" si="5"/>
        <v>0</v>
      </c>
      <c r="J31" s="41">
        <f t="shared" si="6"/>
        <v>0</v>
      </c>
      <c r="K31" s="41">
        <f t="shared" si="7"/>
        <v>0</v>
      </c>
      <c r="L31" s="41">
        <f t="shared" si="8"/>
        <v>0</v>
      </c>
      <c r="M31" s="32">
        <f t="shared" si="9"/>
        <v>0</v>
      </c>
      <c r="N31" s="33">
        <f t="shared" si="10"/>
        <v>0</v>
      </c>
      <c r="O31" s="42">
        <f t="shared" si="11"/>
        <v>0</v>
      </c>
      <c r="P31" s="35" t="s">
        <v>40</v>
      </c>
      <c r="Q31" s="35" t="s">
        <v>40</v>
      </c>
      <c r="R31" s="35" t="s">
        <v>40</v>
      </c>
      <c r="S31" s="35"/>
      <c r="T31" s="35"/>
      <c r="U31" s="35"/>
      <c r="V31" s="35" t="s">
        <v>40</v>
      </c>
      <c r="W31" s="35" t="s">
        <v>40</v>
      </c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6"/>
      <c r="CY31" s="72"/>
      <c r="CZ31" s="36"/>
      <c r="DA31" s="72"/>
      <c r="DB31" s="36"/>
      <c r="DC31" s="72"/>
      <c r="DD31" s="36"/>
      <c r="DE31" s="72"/>
      <c r="DF31" s="36"/>
      <c r="DG31" s="72"/>
      <c r="DH31" s="36"/>
      <c r="DI31" s="72"/>
      <c r="DJ31" s="36"/>
      <c r="DK31" s="72"/>
      <c r="DL31" s="36"/>
      <c r="DM31" s="72"/>
      <c r="DN31" s="36"/>
      <c r="DO31" s="72"/>
      <c r="DP31" s="36"/>
      <c r="DQ31" s="72"/>
      <c r="DR31" s="36"/>
      <c r="DS31" s="72"/>
      <c r="DT31" s="36"/>
      <c r="DU31" s="72"/>
      <c r="DV31" s="37">
        <f t="shared" ref="DV31:DW31" si="35">CX31+CZ31+DB31+DD31+DF31+DH31+DJ31+DL31+DN31+DP31+DR31+DT31</f>
        <v>0</v>
      </c>
      <c r="DW31" s="38">
        <f t="shared" si="35"/>
        <v>0</v>
      </c>
    </row>
    <row r="32" spans="1:129" ht="15.75" customHeight="1">
      <c r="A32" s="25">
        <f t="shared" si="14"/>
        <v>24</v>
      </c>
      <c r="B32" s="26" t="str">
        <f>'BASE DE DATOS'!C33</f>
        <v>CC</v>
      </c>
      <c r="C32" s="27">
        <f>'BASE DE DATOS'!D33</f>
        <v>1016953617</v>
      </c>
      <c r="D32" s="28" t="str">
        <f>'BASE DE DATOS'!B33</f>
        <v>ANTONY ORTIZ PALACIOS</v>
      </c>
      <c r="E32" s="29" t="s">
        <v>48</v>
      </c>
      <c r="F32" s="30" t="str">
        <f t="shared" si="2"/>
        <v/>
      </c>
      <c r="G32" s="40">
        <f t="shared" si="3"/>
        <v>5</v>
      </c>
      <c r="H32" s="41">
        <f t="shared" si="4"/>
        <v>0</v>
      </c>
      <c r="I32" s="41">
        <f t="shared" si="5"/>
        <v>0</v>
      </c>
      <c r="J32" s="41">
        <f t="shared" si="6"/>
        <v>0</v>
      </c>
      <c r="K32" s="41">
        <f t="shared" si="7"/>
        <v>0</v>
      </c>
      <c r="L32" s="41">
        <f t="shared" si="8"/>
        <v>0</v>
      </c>
      <c r="M32" s="32">
        <f t="shared" si="9"/>
        <v>0</v>
      </c>
      <c r="N32" s="33">
        <f t="shared" si="10"/>
        <v>0</v>
      </c>
      <c r="O32" s="42">
        <f t="shared" si="11"/>
        <v>0</v>
      </c>
      <c r="P32" s="35" t="s">
        <v>40</v>
      </c>
      <c r="Q32" s="35" t="s">
        <v>40</v>
      </c>
      <c r="R32" s="35" t="s">
        <v>40</v>
      </c>
      <c r="S32" s="35"/>
      <c r="T32" s="35"/>
      <c r="U32" s="35"/>
      <c r="V32" s="35" t="s">
        <v>40</v>
      </c>
      <c r="W32" s="35" t="s">
        <v>40</v>
      </c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6"/>
      <c r="CY32" s="72"/>
      <c r="CZ32" s="36"/>
      <c r="DA32" s="72"/>
      <c r="DB32" s="36"/>
      <c r="DC32" s="72"/>
      <c r="DD32" s="36"/>
      <c r="DE32" s="72"/>
      <c r="DF32" s="36"/>
      <c r="DG32" s="72"/>
      <c r="DH32" s="36"/>
      <c r="DI32" s="72"/>
      <c r="DJ32" s="36"/>
      <c r="DK32" s="72"/>
      <c r="DL32" s="36"/>
      <c r="DM32" s="72"/>
      <c r="DN32" s="36"/>
      <c r="DO32" s="72"/>
      <c r="DP32" s="36"/>
      <c r="DQ32" s="72"/>
      <c r="DR32" s="36"/>
      <c r="DS32" s="72"/>
      <c r="DT32" s="36"/>
      <c r="DU32" s="72"/>
      <c r="DV32" s="37">
        <f t="shared" ref="DV32:DW32" si="36">CX32+CZ32+DB32+DD32+DF32+DH32+DJ32+DL32+DN32+DP32+DR32+DT32</f>
        <v>0</v>
      </c>
      <c r="DW32" s="38">
        <f t="shared" si="36"/>
        <v>0</v>
      </c>
    </row>
    <row r="33" spans="1:127" ht="15.75" customHeight="1">
      <c r="A33" s="25">
        <f t="shared" si="14"/>
        <v>25</v>
      </c>
      <c r="B33" s="26" t="str">
        <f>'BASE DE DATOS'!C34</f>
        <v>TI</v>
      </c>
      <c r="C33" s="27">
        <f>'BASE DE DATOS'!D34</f>
        <v>1030580520</v>
      </c>
      <c r="D33" s="28" t="str">
        <f>'BASE DE DATOS'!B34</f>
        <v>VALENTINA OSPINA ORTIZ</v>
      </c>
      <c r="E33" s="29" t="s">
        <v>48</v>
      </c>
      <c r="F33" s="30" t="str">
        <f t="shared" si="2"/>
        <v/>
      </c>
      <c r="G33" s="40">
        <f t="shared" si="3"/>
        <v>5</v>
      </c>
      <c r="H33" s="41">
        <f t="shared" si="4"/>
        <v>0</v>
      </c>
      <c r="I33" s="41">
        <f t="shared" si="5"/>
        <v>0</v>
      </c>
      <c r="J33" s="41">
        <f t="shared" si="6"/>
        <v>0</v>
      </c>
      <c r="K33" s="41">
        <f t="shared" si="7"/>
        <v>0</v>
      </c>
      <c r="L33" s="41">
        <f t="shared" si="8"/>
        <v>0</v>
      </c>
      <c r="M33" s="32">
        <f t="shared" si="9"/>
        <v>0</v>
      </c>
      <c r="N33" s="33">
        <f t="shared" si="10"/>
        <v>0</v>
      </c>
      <c r="O33" s="42">
        <f t="shared" si="11"/>
        <v>0</v>
      </c>
      <c r="P33" s="35" t="s">
        <v>40</v>
      </c>
      <c r="Q33" s="35" t="s">
        <v>40</v>
      </c>
      <c r="R33" s="35" t="s">
        <v>40</v>
      </c>
      <c r="S33" s="35"/>
      <c r="T33" s="35"/>
      <c r="U33" s="35"/>
      <c r="V33" s="35" t="s">
        <v>40</v>
      </c>
      <c r="W33" s="35" t="s">
        <v>40</v>
      </c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6"/>
      <c r="CY33" s="72"/>
      <c r="CZ33" s="36"/>
      <c r="DA33" s="72"/>
      <c r="DB33" s="36"/>
      <c r="DC33" s="72"/>
      <c r="DD33" s="36"/>
      <c r="DE33" s="72"/>
      <c r="DF33" s="36"/>
      <c r="DG33" s="72"/>
      <c r="DH33" s="36"/>
      <c r="DI33" s="72"/>
      <c r="DJ33" s="36"/>
      <c r="DK33" s="72"/>
      <c r="DL33" s="36"/>
      <c r="DM33" s="72"/>
      <c r="DN33" s="36"/>
      <c r="DO33" s="72"/>
      <c r="DP33" s="36"/>
      <c r="DQ33" s="72"/>
      <c r="DR33" s="36"/>
      <c r="DS33" s="72"/>
      <c r="DT33" s="36"/>
      <c r="DU33" s="72"/>
      <c r="DV33" s="37">
        <f t="shared" ref="DV33:DW33" si="37">CX33+CZ33+DB33+DD33+DF33+DH33+DJ33+DL33+DN33+DP33+DR33+DT33</f>
        <v>0</v>
      </c>
      <c r="DW33" s="38">
        <f t="shared" si="37"/>
        <v>0</v>
      </c>
    </row>
    <row r="34" spans="1:127" ht="15.75" customHeight="1">
      <c r="A34" s="25">
        <f t="shared" si="14"/>
        <v>26</v>
      </c>
      <c r="B34" s="26" t="str">
        <f>'BASE DE DATOS'!C35</f>
        <v>TI</v>
      </c>
      <c r="C34" s="27">
        <f>'BASE DE DATOS'!D35</f>
        <v>1014877985</v>
      </c>
      <c r="D34" s="28" t="str">
        <f>'BASE DE DATOS'!B35</f>
        <v>ANA SOFIA PATIÑO CASTRO</v>
      </c>
      <c r="E34" s="29" t="s">
        <v>60</v>
      </c>
      <c r="F34" s="30" t="str">
        <f t="shared" si="2"/>
        <v/>
      </c>
      <c r="G34" s="40">
        <f t="shared" si="3"/>
        <v>5</v>
      </c>
      <c r="H34" s="41">
        <f t="shared" si="4"/>
        <v>0</v>
      </c>
      <c r="I34" s="41">
        <f t="shared" si="5"/>
        <v>0</v>
      </c>
      <c r="J34" s="41">
        <f t="shared" si="6"/>
        <v>0</v>
      </c>
      <c r="K34" s="41">
        <f t="shared" si="7"/>
        <v>0</v>
      </c>
      <c r="L34" s="41">
        <f t="shared" si="8"/>
        <v>0</v>
      </c>
      <c r="M34" s="32">
        <f t="shared" si="9"/>
        <v>0</v>
      </c>
      <c r="N34" s="33">
        <f t="shared" si="10"/>
        <v>0</v>
      </c>
      <c r="O34" s="42">
        <f t="shared" si="11"/>
        <v>0</v>
      </c>
      <c r="P34" s="35" t="s">
        <v>40</v>
      </c>
      <c r="Q34" s="35" t="s">
        <v>40</v>
      </c>
      <c r="R34" s="35" t="s">
        <v>40</v>
      </c>
      <c r="S34" s="35"/>
      <c r="T34" s="35"/>
      <c r="U34" s="35"/>
      <c r="V34" s="35" t="s">
        <v>40</v>
      </c>
      <c r="W34" s="35" t="s">
        <v>40</v>
      </c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6"/>
      <c r="CY34" s="72"/>
      <c r="CZ34" s="36"/>
      <c r="DA34" s="72"/>
      <c r="DB34" s="36"/>
      <c r="DC34" s="72"/>
      <c r="DD34" s="36"/>
      <c r="DE34" s="72"/>
      <c r="DF34" s="36"/>
      <c r="DG34" s="72"/>
      <c r="DH34" s="36"/>
      <c r="DI34" s="72"/>
      <c r="DJ34" s="36"/>
      <c r="DK34" s="72"/>
      <c r="DL34" s="36"/>
      <c r="DM34" s="72"/>
      <c r="DN34" s="36"/>
      <c r="DO34" s="72"/>
      <c r="DP34" s="36"/>
      <c r="DQ34" s="72"/>
      <c r="DR34" s="36"/>
      <c r="DS34" s="72"/>
      <c r="DT34" s="36"/>
      <c r="DU34" s="72"/>
      <c r="DV34" s="37">
        <f t="shared" ref="DV34:DW34" si="38">CX34+CZ34+DB34+DD34+DF34+DH34+DJ34+DL34+DN34+DP34+DR34+DT34</f>
        <v>0</v>
      </c>
      <c r="DW34" s="38">
        <f t="shared" si="38"/>
        <v>0</v>
      </c>
    </row>
    <row r="35" spans="1:127" ht="15.75" customHeight="1">
      <c r="A35" s="25">
        <f t="shared" si="14"/>
        <v>27</v>
      </c>
      <c r="B35" s="26" t="str">
        <f>'BASE DE DATOS'!C36</f>
        <v>TI</v>
      </c>
      <c r="C35" s="27">
        <f>'BASE DE DATOS'!D36</f>
        <v>1141718299</v>
      </c>
      <c r="D35" s="28" t="str">
        <f>'BASE DE DATOS'!B36</f>
        <v>KAROL SAMANTA PINZON GRANADOS</v>
      </c>
      <c r="E35" s="29" t="s">
        <v>48</v>
      </c>
      <c r="F35" s="30" t="str">
        <f t="shared" si="2"/>
        <v/>
      </c>
      <c r="G35" s="40">
        <f t="shared" si="3"/>
        <v>5</v>
      </c>
      <c r="H35" s="41">
        <f t="shared" si="4"/>
        <v>0</v>
      </c>
      <c r="I35" s="41">
        <f t="shared" si="5"/>
        <v>0</v>
      </c>
      <c r="J35" s="41">
        <f t="shared" si="6"/>
        <v>0</v>
      </c>
      <c r="K35" s="41">
        <f t="shared" si="7"/>
        <v>0</v>
      </c>
      <c r="L35" s="41">
        <f t="shared" si="8"/>
        <v>0</v>
      </c>
      <c r="M35" s="32">
        <f t="shared" si="9"/>
        <v>0</v>
      </c>
      <c r="N35" s="33">
        <f t="shared" si="10"/>
        <v>0</v>
      </c>
      <c r="O35" s="42">
        <f t="shared" si="11"/>
        <v>0</v>
      </c>
      <c r="P35" s="35" t="s">
        <v>40</v>
      </c>
      <c r="Q35" s="35" t="s">
        <v>40</v>
      </c>
      <c r="R35" s="35" t="s">
        <v>40</v>
      </c>
      <c r="S35" s="35"/>
      <c r="T35" s="35"/>
      <c r="U35" s="35"/>
      <c r="V35" s="35" t="s">
        <v>40</v>
      </c>
      <c r="W35" s="35" t="s">
        <v>40</v>
      </c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6"/>
      <c r="CY35" s="72"/>
      <c r="CZ35" s="36"/>
      <c r="DA35" s="72"/>
      <c r="DB35" s="36"/>
      <c r="DC35" s="72"/>
      <c r="DD35" s="36"/>
      <c r="DE35" s="72"/>
      <c r="DF35" s="36"/>
      <c r="DG35" s="72"/>
      <c r="DH35" s="36"/>
      <c r="DI35" s="72"/>
      <c r="DJ35" s="36"/>
      <c r="DK35" s="72"/>
      <c r="DL35" s="36"/>
      <c r="DM35" s="72"/>
      <c r="DN35" s="36"/>
      <c r="DO35" s="72"/>
      <c r="DP35" s="36"/>
      <c r="DQ35" s="72"/>
      <c r="DR35" s="36"/>
      <c r="DS35" s="72"/>
      <c r="DT35" s="36"/>
      <c r="DU35" s="72"/>
      <c r="DV35" s="37">
        <f t="shared" ref="DV35:DW35" si="39">CX35+CZ35+DB35+DD35+DF35+DH35+DJ35+DL35+DN35+DP35+DR35+DT35</f>
        <v>0</v>
      </c>
      <c r="DW35" s="38">
        <f t="shared" si="39"/>
        <v>0</v>
      </c>
    </row>
    <row r="36" spans="1:127" ht="15.75" customHeight="1">
      <c r="A36" s="25">
        <f t="shared" si="14"/>
        <v>28</v>
      </c>
      <c r="B36" s="26" t="str">
        <f>'BASE DE DATOS'!C37</f>
        <v>CC</v>
      </c>
      <c r="C36" s="27">
        <v>1067956254</v>
      </c>
      <c r="D36" s="28" t="str">
        <f>'BASE DE DATOS'!B37</f>
        <v>DANA VALENTINA QUIJANO CORONADO</v>
      </c>
      <c r="E36" s="29" t="s">
        <v>48</v>
      </c>
      <c r="F36" s="30" t="str">
        <f t="shared" si="2"/>
        <v>CON FALTAS</v>
      </c>
      <c r="G36" s="40">
        <f t="shared" si="3"/>
        <v>3</v>
      </c>
      <c r="H36" s="41">
        <f t="shared" si="4"/>
        <v>0</v>
      </c>
      <c r="I36" s="41">
        <f t="shared" si="5"/>
        <v>2</v>
      </c>
      <c r="J36" s="41">
        <f t="shared" si="6"/>
        <v>0</v>
      </c>
      <c r="K36" s="41">
        <f t="shared" si="7"/>
        <v>0</v>
      </c>
      <c r="L36" s="41">
        <f t="shared" si="8"/>
        <v>0</v>
      </c>
      <c r="M36" s="32">
        <f t="shared" si="9"/>
        <v>0</v>
      </c>
      <c r="N36" s="33">
        <f t="shared" si="10"/>
        <v>0</v>
      </c>
      <c r="O36" s="42">
        <f t="shared" si="11"/>
        <v>0.4</v>
      </c>
      <c r="P36" s="35" t="s">
        <v>40</v>
      </c>
      <c r="Q36" s="35" t="s">
        <v>40</v>
      </c>
      <c r="R36" s="35" t="s">
        <v>40</v>
      </c>
      <c r="S36" s="35"/>
      <c r="T36" s="35"/>
      <c r="U36" s="35"/>
      <c r="V36" s="35" t="s">
        <v>13</v>
      </c>
      <c r="W36" s="35" t="s">
        <v>13</v>
      </c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6"/>
      <c r="CY36" s="72"/>
      <c r="CZ36" s="36"/>
      <c r="DA36" s="72"/>
      <c r="DB36" s="36"/>
      <c r="DC36" s="72"/>
      <c r="DD36" s="36"/>
      <c r="DE36" s="72"/>
      <c r="DF36" s="36"/>
      <c r="DG36" s="72"/>
      <c r="DH36" s="36"/>
      <c r="DI36" s="72"/>
      <c r="DJ36" s="36"/>
      <c r="DK36" s="72"/>
      <c r="DL36" s="36"/>
      <c r="DM36" s="72"/>
      <c r="DN36" s="36"/>
      <c r="DO36" s="72"/>
      <c r="DP36" s="36"/>
      <c r="DQ36" s="72"/>
      <c r="DR36" s="36"/>
      <c r="DS36" s="72"/>
      <c r="DT36" s="36"/>
      <c r="DU36" s="72"/>
      <c r="DV36" s="37">
        <f t="shared" ref="DV36:DW36" si="40">CX36+CZ36+DB36+DD36+DF36+DH36+DJ36+DL36+DN36+DP36+DR36+DT36</f>
        <v>0</v>
      </c>
      <c r="DW36" s="38">
        <f t="shared" si="40"/>
        <v>0</v>
      </c>
    </row>
    <row r="37" spans="1:127" ht="15.75" customHeight="1" thickBot="1">
      <c r="A37" s="25">
        <f t="shared" si="14"/>
        <v>29</v>
      </c>
      <c r="B37" s="26" t="str">
        <f>'BASE DE DATOS'!C38</f>
        <v>TI</v>
      </c>
      <c r="C37" s="27">
        <f>'BASE DE DATOS'!D38</f>
        <v>1025147204</v>
      </c>
      <c r="D37" s="28" t="str">
        <f>'BASE DE DATOS'!B38</f>
        <v>LINA SOFIA RAMIREZ DUARTE</v>
      </c>
      <c r="E37" s="29" t="s">
        <v>48</v>
      </c>
      <c r="F37" s="30" t="str">
        <f t="shared" si="2"/>
        <v/>
      </c>
      <c r="G37" s="40">
        <f t="shared" si="3"/>
        <v>5</v>
      </c>
      <c r="H37" s="41">
        <f t="shared" si="4"/>
        <v>0</v>
      </c>
      <c r="I37" s="41">
        <f t="shared" si="5"/>
        <v>0</v>
      </c>
      <c r="J37" s="41">
        <f t="shared" si="6"/>
        <v>0</v>
      </c>
      <c r="K37" s="41">
        <f t="shared" si="7"/>
        <v>0</v>
      </c>
      <c r="L37" s="41">
        <f t="shared" si="8"/>
        <v>0</v>
      </c>
      <c r="M37" s="32">
        <f t="shared" si="9"/>
        <v>0</v>
      </c>
      <c r="N37" s="33">
        <f t="shared" si="10"/>
        <v>0</v>
      </c>
      <c r="O37" s="42">
        <f t="shared" si="11"/>
        <v>0</v>
      </c>
      <c r="P37" s="35" t="s">
        <v>40</v>
      </c>
      <c r="Q37" s="35" t="s">
        <v>40</v>
      </c>
      <c r="R37" s="35" t="s">
        <v>40</v>
      </c>
      <c r="S37" s="35"/>
      <c r="T37" s="35"/>
      <c r="U37" s="35"/>
      <c r="V37" s="35" t="s">
        <v>40</v>
      </c>
      <c r="W37" s="35" t="s">
        <v>40</v>
      </c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6"/>
      <c r="CY37" s="72"/>
      <c r="CZ37" s="36"/>
      <c r="DA37" s="72"/>
      <c r="DB37" s="36"/>
      <c r="DC37" s="72"/>
      <c r="DD37" s="36"/>
      <c r="DE37" s="72"/>
      <c r="DF37" s="36"/>
      <c r="DG37" s="72"/>
      <c r="DH37" s="36"/>
      <c r="DI37" s="72"/>
      <c r="DJ37" s="36"/>
      <c r="DK37" s="72"/>
      <c r="DL37" s="36"/>
      <c r="DM37" s="72"/>
      <c r="DN37" s="36"/>
      <c r="DO37" s="72"/>
      <c r="DP37" s="36"/>
      <c r="DQ37" s="72"/>
      <c r="DR37" s="36"/>
      <c r="DS37" s="72"/>
      <c r="DT37" s="36"/>
      <c r="DU37" s="72"/>
      <c r="DV37" s="37">
        <f t="shared" ref="DV37:DW37" si="41">CX37+CZ37+DB37+DD37+DF37+DH37+DJ37+DL37+DN37+DP37+DR37+DT37</f>
        <v>0</v>
      </c>
      <c r="DW37" s="38">
        <f t="shared" si="41"/>
        <v>0</v>
      </c>
    </row>
    <row r="38" spans="1:127" ht="15.75" customHeight="1" thickBot="1">
      <c r="A38" s="25">
        <f t="shared" si="14"/>
        <v>30</v>
      </c>
      <c r="B38" s="26" t="str">
        <f>'BASE DE DATOS'!C39</f>
        <v>TI</v>
      </c>
      <c r="C38" s="27">
        <f>'BASE DE DATOS'!D39</f>
        <v>1014236875</v>
      </c>
      <c r="D38" s="28" t="str">
        <f>'BASE DE DATOS'!B39</f>
        <v>JULIE ANDREA RIVERA LOZANO</v>
      </c>
      <c r="E38" s="29" t="s">
        <v>48</v>
      </c>
      <c r="F38" s="30" t="str">
        <f t="shared" ref="F38:F43" si="42">IF(I38=0,"",IF(I38&gt;=5,"FALTAS INTERMITENTES",IF(I38&gt;=3,"REVISAR FALTAS",IF(AND(I38&lt;3,I38&gt;0),"CON FALTAS"))))</f>
        <v/>
      </c>
      <c r="G38" s="40">
        <f t="shared" ref="G38:G43" si="43">COUNTIF(P38:CR38,"A")</f>
        <v>5</v>
      </c>
      <c r="H38" s="41">
        <f t="shared" ref="H38:H43" si="44">COUNTIF(P38:CR38,"CE")</f>
        <v>0</v>
      </c>
      <c r="I38" s="41">
        <f t="shared" ref="I38:I43" si="45">COUNTIF(P38:CR38,"SE")</f>
        <v>0</v>
      </c>
      <c r="J38" s="41">
        <f t="shared" ref="J38:J43" si="46">COUNTIF(P38:CR38,"INC")</f>
        <v>0</v>
      </c>
      <c r="K38" s="41">
        <f t="shared" ref="K38:K43" si="47">COUNTIF(P38:CR38,"LIC")</f>
        <v>0</v>
      </c>
      <c r="L38" s="41">
        <f t="shared" ref="L38:L43" si="48">COUNTIF(P38:CR38,"CLM")</f>
        <v>0</v>
      </c>
      <c r="M38" s="32">
        <f t="shared" ref="M38:M43" si="49">COUNTIF(P38:IA38,"SFF")</f>
        <v>0</v>
      </c>
      <c r="N38" s="33">
        <f t="shared" ref="N38:N43" si="50">COUNTIF(P38:CR38,"RET")</f>
        <v>0</v>
      </c>
      <c r="O38" s="42">
        <f t="shared" ref="O38:O43" si="51">IFERROR(SUM(H38:K38)/SUM(G38:K38)," ")</f>
        <v>0</v>
      </c>
      <c r="P38" s="35" t="s">
        <v>40</v>
      </c>
      <c r="Q38" s="35" t="s">
        <v>40</v>
      </c>
      <c r="R38" s="35" t="s">
        <v>40</v>
      </c>
      <c r="S38" s="35"/>
      <c r="T38" s="35"/>
      <c r="U38" s="35"/>
      <c r="V38" s="35" t="s">
        <v>40</v>
      </c>
      <c r="W38" s="35" t="s">
        <v>40</v>
      </c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6"/>
      <c r="CY38" s="72"/>
      <c r="CZ38" s="36"/>
      <c r="DA38" s="72"/>
      <c r="DB38" s="36"/>
      <c r="DC38" s="72"/>
      <c r="DD38" s="36"/>
      <c r="DE38" s="72"/>
      <c r="DF38" s="36"/>
      <c r="DG38" s="72"/>
      <c r="DH38" s="36"/>
      <c r="DI38" s="72"/>
      <c r="DJ38" s="36"/>
      <c r="DK38" s="72"/>
      <c r="DL38" s="36"/>
      <c r="DM38" s="72"/>
      <c r="DN38" s="36"/>
      <c r="DO38" s="72"/>
      <c r="DP38" s="36"/>
      <c r="DQ38" s="72"/>
      <c r="DR38" s="36"/>
      <c r="DS38" s="72"/>
      <c r="DT38" s="36"/>
      <c r="DU38" s="72"/>
      <c r="DV38" s="37"/>
      <c r="DW38" s="38"/>
    </row>
    <row r="39" spans="1:127" ht="15.75" customHeight="1" thickBot="1">
      <c r="A39" s="25">
        <f t="shared" si="14"/>
        <v>31</v>
      </c>
      <c r="B39" s="26" t="str">
        <f>'BASE DE DATOS'!C40</f>
        <v>TI</v>
      </c>
      <c r="C39" s="27">
        <f>'BASE DE DATOS'!D40</f>
        <v>1141122555</v>
      </c>
      <c r="D39" s="28" t="str">
        <f>'BASE DE DATOS'!B40</f>
        <v>EMILY DAYAN RIVERA RODRIGUEZ</v>
      </c>
      <c r="E39" s="29" t="s">
        <v>48</v>
      </c>
      <c r="F39" s="30" t="str">
        <f t="shared" si="42"/>
        <v/>
      </c>
      <c r="G39" s="40">
        <f t="shared" si="43"/>
        <v>5</v>
      </c>
      <c r="H39" s="41">
        <f t="shared" si="44"/>
        <v>0</v>
      </c>
      <c r="I39" s="41">
        <f t="shared" si="45"/>
        <v>0</v>
      </c>
      <c r="J39" s="41">
        <f t="shared" si="46"/>
        <v>0</v>
      </c>
      <c r="K39" s="41">
        <f t="shared" si="47"/>
        <v>0</v>
      </c>
      <c r="L39" s="41">
        <f t="shared" si="48"/>
        <v>0</v>
      </c>
      <c r="M39" s="32">
        <f t="shared" si="49"/>
        <v>0</v>
      </c>
      <c r="N39" s="33">
        <f t="shared" si="50"/>
        <v>0</v>
      </c>
      <c r="O39" s="42">
        <f t="shared" si="51"/>
        <v>0</v>
      </c>
      <c r="P39" s="35" t="s">
        <v>40</v>
      </c>
      <c r="Q39" s="35" t="s">
        <v>40</v>
      </c>
      <c r="R39" s="35" t="s">
        <v>40</v>
      </c>
      <c r="S39" s="35"/>
      <c r="T39" s="35"/>
      <c r="U39" s="35"/>
      <c r="V39" s="35" t="s">
        <v>40</v>
      </c>
      <c r="W39" s="35" t="s">
        <v>40</v>
      </c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6"/>
      <c r="CY39" s="72"/>
      <c r="CZ39" s="36"/>
      <c r="DA39" s="72"/>
      <c r="DB39" s="36"/>
      <c r="DC39" s="72"/>
      <c r="DD39" s="36"/>
      <c r="DE39" s="72"/>
      <c r="DF39" s="36"/>
      <c r="DG39" s="72"/>
      <c r="DH39" s="36"/>
      <c r="DI39" s="72"/>
      <c r="DJ39" s="36"/>
      <c r="DK39" s="72"/>
      <c r="DL39" s="36"/>
      <c r="DM39" s="72"/>
      <c r="DN39" s="36"/>
      <c r="DO39" s="72"/>
      <c r="DP39" s="36"/>
      <c r="DQ39" s="72"/>
      <c r="DR39" s="36"/>
      <c r="DS39" s="72"/>
      <c r="DT39" s="36"/>
      <c r="DU39" s="72"/>
      <c r="DV39" s="37"/>
      <c r="DW39" s="38"/>
    </row>
    <row r="40" spans="1:127" ht="15.75" customHeight="1" thickBot="1">
      <c r="A40" s="25">
        <f t="shared" si="14"/>
        <v>32</v>
      </c>
      <c r="B40" s="26" t="str">
        <f>'BASE DE DATOS'!C41</f>
        <v>TI</v>
      </c>
      <c r="C40" s="27">
        <f>'BASE DE DATOS'!D41</f>
        <v>1019766073</v>
      </c>
      <c r="D40" s="28" t="str">
        <f>'BASE DE DATOS'!B41</f>
        <v>ASTRID SARAY ROJAS HERRERA</v>
      </c>
      <c r="E40" s="29" t="s">
        <v>48</v>
      </c>
      <c r="F40" s="30" t="str">
        <f t="shared" si="42"/>
        <v/>
      </c>
      <c r="G40" s="40">
        <f t="shared" si="43"/>
        <v>5</v>
      </c>
      <c r="H40" s="41">
        <f t="shared" si="44"/>
        <v>0</v>
      </c>
      <c r="I40" s="41">
        <f t="shared" si="45"/>
        <v>0</v>
      </c>
      <c r="J40" s="41">
        <f t="shared" si="46"/>
        <v>0</v>
      </c>
      <c r="K40" s="41">
        <f t="shared" si="47"/>
        <v>0</v>
      </c>
      <c r="L40" s="41">
        <f t="shared" si="48"/>
        <v>0</v>
      </c>
      <c r="M40" s="32">
        <f t="shared" si="49"/>
        <v>0</v>
      </c>
      <c r="N40" s="33">
        <f t="shared" si="50"/>
        <v>0</v>
      </c>
      <c r="O40" s="42">
        <f t="shared" si="51"/>
        <v>0</v>
      </c>
      <c r="P40" s="35" t="s">
        <v>40</v>
      </c>
      <c r="Q40" s="35" t="s">
        <v>40</v>
      </c>
      <c r="R40" s="35" t="s">
        <v>40</v>
      </c>
      <c r="S40" s="35"/>
      <c r="T40" s="35"/>
      <c r="U40" s="35"/>
      <c r="V40" s="35" t="s">
        <v>40</v>
      </c>
      <c r="W40" s="35" t="s">
        <v>40</v>
      </c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6"/>
      <c r="CY40" s="72"/>
      <c r="CZ40" s="36"/>
      <c r="DA40" s="72"/>
      <c r="DB40" s="36"/>
      <c r="DC40" s="72"/>
      <c r="DD40" s="36"/>
      <c r="DE40" s="72"/>
      <c r="DF40" s="36"/>
      <c r="DG40" s="72"/>
      <c r="DH40" s="36"/>
      <c r="DI40" s="72"/>
      <c r="DJ40" s="36"/>
      <c r="DK40" s="72"/>
      <c r="DL40" s="36"/>
      <c r="DM40" s="72"/>
      <c r="DN40" s="36"/>
      <c r="DO40" s="72"/>
      <c r="DP40" s="36"/>
      <c r="DQ40" s="72"/>
      <c r="DR40" s="36"/>
      <c r="DS40" s="72"/>
      <c r="DT40" s="36"/>
      <c r="DU40" s="72"/>
      <c r="DV40" s="37"/>
      <c r="DW40" s="38"/>
    </row>
    <row r="41" spans="1:127" ht="15.75" customHeight="1" thickBot="1">
      <c r="A41" s="25">
        <f t="shared" si="14"/>
        <v>33</v>
      </c>
      <c r="B41" s="26" t="str">
        <f>'BASE DE DATOS'!C42</f>
        <v>TI</v>
      </c>
      <c r="C41" s="27">
        <f>'BASE DE DATOS'!D42</f>
        <v>1014238500</v>
      </c>
      <c r="D41" s="28" t="str">
        <f>'BASE DE DATOS'!B42</f>
        <v>VALERIA KATHERINE ROMERO RIAÑO</v>
      </c>
      <c r="E41" s="29" t="s">
        <v>48</v>
      </c>
      <c r="F41" s="30" t="str">
        <f t="shared" si="42"/>
        <v/>
      </c>
      <c r="G41" s="40">
        <f t="shared" si="43"/>
        <v>5</v>
      </c>
      <c r="H41" s="41">
        <f t="shared" si="44"/>
        <v>0</v>
      </c>
      <c r="I41" s="41">
        <f t="shared" si="45"/>
        <v>0</v>
      </c>
      <c r="J41" s="41">
        <f t="shared" si="46"/>
        <v>0</v>
      </c>
      <c r="K41" s="41">
        <f t="shared" si="47"/>
        <v>0</v>
      </c>
      <c r="L41" s="41">
        <f t="shared" si="48"/>
        <v>0</v>
      </c>
      <c r="M41" s="32">
        <f t="shared" si="49"/>
        <v>0</v>
      </c>
      <c r="N41" s="33">
        <f t="shared" si="50"/>
        <v>0</v>
      </c>
      <c r="O41" s="42">
        <f t="shared" si="51"/>
        <v>0</v>
      </c>
      <c r="P41" s="35" t="s">
        <v>40</v>
      </c>
      <c r="Q41" s="35" t="s">
        <v>40</v>
      </c>
      <c r="R41" s="35" t="s">
        <v>40</v>
      </c>
      <c r="S41" s="35"/>
      <c r="T41" s="35"/>
      <c r="U41" s="35"/>
      <c r="V41" s="35" t="s">
        <v>40</v>
      </c>
      <c r="W41" s="35" t="s">
        <v>40</v>
      </c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6"/>
      <c r="CY41" s="72"/>
      <c r="CZ41" s="36"/>
      <c r="DA41" s="72"/>
      <c r="DB41" s="36"/>
      <c r="DC41" s="72"/>
      <c r="DD41" s="36"/>
      <c r="DE41" s="72"/>
      <c r="DF41" s="36"/>
      <c r="DG41" s="72"/>
      <c r="DH41" s="36"/>
      <c r="DI41" s="72"/>
      <c r="DJ41" s="36"/>
      <c r="DK41" s="72"/>
      <c r="DL41" s="36"/>
      <c r="DM41" s="72"/>
      <c r="DN41" s="36"/>
      <c r="DO41" s="72"/>
      <c r="DP41" s="36"/>
      <c r="DQ41" s="72"/>
      <c r="DR41" s="36"/>
      <c r="DS41" s="72"/>
      <c r="DT41" s="36"/>
      <c r="DU41" s="72"/>
      <c r="DV41" s="37"/>
      <c r="DW41" s="38"/>
    </row>
    <row r="42" spans="1:127" ht="15.75" customHeight="1" thickBot="1">
      <c r="A42" s="25">
        <f t="shared" si="14"/>
        <v>34</v>
      </c>
      <c r="B42" s="26" t="str">
        <f>'BASE DE DATOS'!C43</f>
        <v>TI</v>
      </c>
      <c r="C42" s="27">
        <f>'BASE DE DATOS'!D43</f>
        <v>1146126178</v>
      </c>
      <c r="D42" s="28" t="str">
        <f>'BASE DE DATOS'!B43</f>
        <v>PAULA GABRIELA SALCEDO ALGECIRA</v>
      </c>
      <c r="E42" s="29" t="s">
        <v>48</v>
      </c>
      <c r="F42" s="30" t="str">
        <f t="shared" si="42"/>
        <v/>
      </c>
      <c r="G42" s="40">
        <f t="shared" si="43"/>
        <v>5</v>
      </c>
      <c r="H42" s="41">
        <f t="shared" si="44"/>
        <v>0</v>
      </c>
      <c r="I42" s="41">
        <f t="shared" si="45"/>
        <v>0</v>
      </c>
      <c r="J42" s="41">
        <f t="shared" si="46"/>
        <v>0</v>
      </c>
      <c r="K42" s="41">
        <f t="shared" si="47"/>
        <v>0</v>
      </c>
      <c r="L42" s="41">
        <f t="shared" si="48"/>
        <v>0</v>
      </c>
      <c r="M42" s="32">
        <f t="shared" si="49"/>
        <v>0</v>
      </c>
      <c r="N42" s="33">
        <f t="shared" si="50"/>
        <v>0</v>
      </c>
      <c r="O42" s="42">
        <f t="shared" si="51"/>
        <v>0</v>
      </c>
      <c r="P42" s="35" t="s">
        <v>40</v>
      </c>
      <c r="Q42" s="35" t="s">
        <v>40</v>
      </c>
      <c r="R42" s="35" t="s">
        <v>40</v>
      </c>
      <c r="S42" s="35"/>
      <c r="T42" s="35"/>
      <c r="U42" s="35"/>
      <c r="V42" s="35" t="s">
        <v>40</v>
      </c>
      <c r="W42" s="35" t="s">
        <v>40</v>
      </c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6"/>
      <c r="CY42" s="72"/>
      <c r="CZ42" s="36"/>
      <c r="DA42" s="72"/>
      <c r="DB42" s="36"/>
      <c r="DC42" s="72"/>
      <c r="DD42" s="36"/>
      <c r="DE42" s="72"/>
      <c r="DF42" s="36"/>
      <c r="DG42" s="72"/>
      <c r="DH42" s="36"/>
      <c r="DI42" s="72"/>
      <c r="DJ42" s="36"/>
      <c r="DK42" s="72"/>
      <c r="DL42" s="36"/>
      <c r="DM42" s="72"/>
      <c r="DN42" s="36"/>
      <c r="DO42" s="72"/>
      <c r="DP42" s="36"/>
      <c r="DQ42" s="72"/>
      <c r="DR42" s="36"/>
      <c r="DS42" s="72"/>
      <c r="DT42" s="36"/>
      <c r="DU42" s="72"/>
      <c r="DV42" s="37"/>
      <c r="DW42" s="38"/>
    </row>
    <row r="43" spans="1:127" ht="15.75" customHeight="1" thickBot="1">
      <c r="A43" s="25">
        <f t="shared" si="14"/>
        <v>35</v>
      </c>
      <c r="B43" s="26" t="str">
        <f>'BASE DE DATOS'!C44</f>
        <v>TI</v>
      </c>
      <c r="C43" s="27">
        <f>'BASE DE DATOS'!D44</f>
        <v>1052842832</v>
      </c>
      <c r="D43" s="28" t="str">
        <f>'BASE DE DATOS'!B44</f>
        <v>STEFANNY SOFIA SANCHEZ DIVANTOQUE</v>
      </c>
      <c r="E43" s="29" t="s">
        <v>48</v>
      </c>
      <c r="F43" s="30" t="str">
        <f t="shared" si="42"/>
        <v/>
      </c>
      <c r="G43" s="40">
        <f t="shared" si="43"/>
        <v>5</v>
      </c>
      <c r="H43" s="41">
        <f t="shared" si="44"/>
        <v>0</v>
      </c>
      <c r="I43" s="41">
        <f t="shared" si="45"/>
        <v>0</v>
      </c>
      <c r="J43" s="41">
        <f t="shared" si="46"/>
        <v>0</v>
      </c>
      <c r="K43" s="41">
        <f t="shared" si="47"/>
        <v>0</v>
      </c>
      <c r="L43" s="41">
        <f t="shared" si="48"/>
        <v>0</v>
      </c>
      <c r="M43" s="32">
        <f t="shared" si="49"/>
        <v>0</v>
      </c>
      <c r="N43" s="33">
        <f t="shared" si="50"/>
        <v>0</v>
      </c>
      <c r="O43" s="42">
        <f t="shared" si="51"/>
        <v>0</v>
      </c>
      <c r="P43" s="35" t="s">
        <v>40</v>
      </c>
      <c r="Q43" s="35" t="s">
        <v>40</v>
      </c>
      <c r="R43" s="35" t="s">
        <v>40</v>
      </c>
      <c r="S43" s="35"/>
      <c r="T43" s="35"/>
      <c r="U43" s="35"/>
      <c r="V43" s="35" t="s">
        <v>40</v>
      </c>
      <c r="W43" s="35" t="s">
        <v>40</v>
      </c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6"/>
      <c r="CY43" s="72"/>
      <c r="CZ43" s="36"/>
      <c r="DA43" s="72"/>
      <c r="DB43" s="36"/>
      <c r="DC43" s="72"/>
      <c r="DD43" s="36"/>
      <c r="DE43" s="72"/>
      <c r="DF43" s="36"/>
      <c r="DG43" s="72"/>
      <c r="DH43" s="36"/>
      <c r="DI43" s="72"/>
      <c r="DJ43" s="36"/>
      <c r="DK43" s="72"/>
      <c r="DL43" s="36"/>
      <c r="DM43" s="72"/>
      <c r="DN43" s="36"/>
      <c r="DO43" s="72"/>
      <c r="DP43" s="36"/>
      <c r="DQ43" s="72"/>
      <c r="DR43" s="36"/>
      <c r="DS43" s="72"/>
      <c r="DT43" s="36"/>
      <c r="DU43" s="72"/>
      <c r="DV43" s="37"/>
      <c r="DW43" s="38"/>
    </row>
    <row r="44" spans="1:127" ht="15.75" customHeight="1" thickBot="1">
      <c r="A44" s="73"/>
      <c r="B44" s="74"/>
      <c r="C44" s="75"/>
      <c r="D44" s="75"/>
      <c r="E44" s="75"/>
      <c r="F44" s="74"/>
      <c r="G44" s="169" t="s">
        <v>61</v>
      </c>
      <c r="H44" s="130"/>
      <c r="I44" s="130"/>
      <c r="J44" s="130"/>
      <c r="K44" s="130"/>
      <c r="L44" s="130"/>
      <c r="M44" s="131"/>
      <c r="N44" s="132" t="str">
        <f>G8</f>
        <v>A</v>
      </c>
      <c r="O44" s="133"/>
      <c r="P44" s="43">
        <f t="shared" ref="P44:AU44" si="52">COUNTIF(P9:P37,"A")</f>
        <v>29</v>
      </c>
      <c r="Q44" s="43">
        <f t="shared" si="52"/>
        <v>29</v>
      </c>
      <c r="R44" s="43">
        <f t="shared" si="52"/>
        <v>29</v>
      </c>
      <c r="S44" s="43">
        <f t="shared" si="52"/>
        <v>0</v>
      </c>
      <c r="T44" s="43">
        <f t="shared" si="52"/>
        <v>0</v>
      </c>
      <c r="U44" s="43">
        <f t="shared" si="52"/>
        <v>0</v>
      </c>
      <c r="V44" s="43">
        <f t="shared" si="52"/>
        <v>27</v>
      </c>
      <c r="W44" s="43">
        <f t="shared" si="52"/>
        <v>27</v>
      </c>
      <c r="X44" s="43">
        <f t="shared" si="52"/>
        <v>0</v>
      </c>
      <c r="Y44" s="43">
        <f t="shared" si="52"/>
        <v>0</v>
      </c>
      <c r="Z44" s="43">
        <f t="shared" si="52"/>
        <v>0</v>
      </c>
      <c r="AA44" s="43">
        <f t="shared" si="52"/>
        <v>0</v>
      </c>
      <c r="AB44" s="43">
        <f t="shared" si="52"/>
        <v>0</v>
      </c>
      <c r="AC44" s="43">
        <f t="shared" si="52"/>
        <v>0</v>
      </c>
      <c r="AD44" s="43">
        <f t="shared" si="52"/>
        <v>0</v>
      </c>
      <c r="AE44" s="43">
        <f t="shared" si="52"/>
        <v>0</v>
      </c>
      <c r="AF44" s="43">
        <f t="shared" si="52"/>
        <v>0</v>
      </c>
      <c r="AG44" s="43">
        <f t="shared" si="52"/>
        <v>0</v>
      </c>
      <c r="AH44" s="43">
        <f t="shared" si="52"/>
        <v>0</v>
      </c>
      <c r="AI44" s="43">
        <f t="shared" si="52"/>
        <v>0</v>
      </c>
      <c r="AJ44" s="43">
        <f t="shared" si="52"/>
        <v>0</v>
      </c>
      <c r="AK44" s="43">
        <f t="shared" si="52"/>
        <v>0</v>
      </c>
      <c r="AL44" s="43">
        <f t="shared" si="52"/>
        <v>0</v>
      </c>
      <c r="AM44" s="43">
        <f t="shared" si="52"/>
        <v>0</v>
      </c>
      <c r="AN44" s="43">
        <f t="shared" si="52"/>
        <v>0</v>
      </c>
      <c r="AO44" s="43">
        <f t="shared" si="52"/>
        <v>0</v>
      </c>
      <c r="AP44" s="43">
        <f t="shared" si="52"/>
        <v>0</v>
      </c>
      <c r="AQ44" s="43">
        <f t="shared" si="52"/>
        <v>0</v>
      </c>
      <c r="AR44" s="43">
        <f t="shared" si="52"/>
        <v>0</v>
      </c>
      <c r="AS44" s="43">
        <f t="shared" si="52"/>
        <v>0</v>
      </c>
      <c r="AT44" s="43">
        <f t="shared" si="52"/>
        <v>0</v>
      </c>
      <c r="AU44" s="43">
        <f t="shared" si="52"/>
        <v>0</v>
      </c>
      <c r="AV44" s="43">
        <f t="shared" ref="AV44:CA44" si="53">COUNTIF(AV9:AV37,"A")</f>
        <v>0</v>
      </c>
      <c r="AW44" s="43">
        <f t="shared" si="53"/>
        <v>0</v>
      </c>
      <c r="AX44" s="43">
        <f t="shared" si="53"/>
        <v>0</v>
      </c>
      <c r="AY44" s="43">
        <f t="shared" si="53"/>
        <v>0</v>
      </c>
      <c r="AZ44" s="43">
        <f t="shared" si="53"/>
        <v>0</v>
      </c>
      <c r="BA44" s="43">
        <f t="shared" si="53"/>
        <v>0</v>
      </c>
      <c r="BB44" s="43">
        <f t="shared" si="53"/>
        <v>0</v>
      </c>
      <c r="BC44" s="43">
        <f t="shared" si="53"/>
        <v>0</v>
      </c>
      <c r="BD44" s="43">
        <f t="shared" si="53"/>
        <v>0</v>
      </c>
      <c r="BE44" s="43">
        <f t="shared" si="53"/>
        <v>0</v>
      </c>
      <c r="BF44" s="43">
        <f t="shared" si="53"/>
        <v>0</v>
      </c>
      <c r="BG44" s="43">
        <f t="shared" si="53"/>
        <v>0</v>
      </c>
      <c r="BH44" s="43">
        <f t="shared" si="53"/>
        <v>0</v>
      </c>
      <c r="BI44" s="43">
        <f t="shared" si="53"/>
        <v>0</v>
      </c>
      <c r="BJ44" s="43">
        <f t="shared" si="53"/>
        <v>0</v>
      </c>
      <c r="BK44" s="43">
        <f t="shared" si="53"/>
        <v>0</v>
      </c>
      <c r="BL44" s="43">
        <f t="shared" si="53"/>
        <v>0</v>
      </c>
      <c r="BM44" s="43">
        <f t="shared" si="53"/>
        <v>0</v>
      </c>
      <c r="BN44" s="43">
        <f t="shared" si="53"/>
        <v>0</v>
      </c>
      <c r="BO44" s="43">
        <f t="shared" si="53"/>
        <v>0</v>
      </c>
      <c r="BP44" s="43">
        <f t="shared" si="53"/>
        <v>0</v>
      </c>
      <c r="BQ44" s="43">
        <f t="shared" si="53"/>
        <v>0</v>
      </c>
      <c r="BR44" s="43">
        <f t="shared" si="53"/>
        <v>0</v>
      </c>
      <c r="BS44" s="43">
        <f t="shared" si="53"/>
        <v>0</v>
      </c>
      <c r="BT44" s="43">
        <f t="shared" si="53"/>
        <v>0</v>
      </c>
      <c r="BU44" s="43">
        <f t="shared" si="53"/>
        <v>0</v>
      </c>
      <c r="BV44" s="43">
        <f t="shared" si="53"/>
        <v>0</v>
      </c>
      <c r="BW44" s="43">
        <f t="shared" si="53"/>
        <v>0</v>
      </c>
      <c r="BX44" s="43">
        <f t="shared" si="53"/>
        <v>0</v>
      </c>
      <c r="BY44" s="43">
        <f t="shared" si="53"/>
        <v>0</v>
      </c>
      <c r="BZ44" s="43">
        <f t="shared" si="53"/>
        <v>0</v>
      </c>
      <c r="CA44" s="43">
        <f t="shared" si="53"/>
        <v>0</v>
      </c>
      <c r="CB44" s="43">
        <f t="shared" ref="CB44:CW44" si="54">COUNTIF(CB9:CB37,"A")</f>
        <v>0</v>
      </c>
      <c r="CC44" s="43">
        <f t="shared" si="54"/>
        <v>0</v>
      </c>
      <c r="CD44" s="43">
        <f t="shared" si="54"/>
        <v>0</v>
      </c>
      <c r="CE44" s="43">
        <f t="shared" si="54"/>
        <v>0</v>
      </c>
      <c r="CF44" s="43">
        <f t="shared" si="54"/>
        <v>0</v>
      </c>
      <c r="CG44" s="43">
        <f t="shared" si="54"/>
        <v>0</v>
      </c>
      <c r="CH44" s="43">
        <f t="shared" si="54"/>
        <v>0</v>
      </c>
      <c r="CI44" s="43">
        <f t="shared" si="54"/>
        <v>0</v>
      </c>
      <c r="CJ44" s="43">
        <f t="shared" si="54"/>
        <v>0</v>
      </c>
      <c r="CK44" s="43">
        <f t="shared" si="54"/>
        <v>0</v>
      </c>
      <c r="CL44" s="43">
        <f t="shared" si="54"/>
        <v>0</v>
      </c>
      <c r="CM44" s="43">
        <f t="shared" si="54"/>
        <v>0</v>
      </c>
      <c r="CN44" s="43">
        <f t="shared" si="54"/>
        <v>0</v>
      </c>
      <c r="CO44" s="43">
        <f t="shared" si="54"/>
        <v>0</v>
      </c>
      <c r="CP44" s="43">
        <f t="shared" si="54"/>
        <v>0</v>
      </c>
      <c r="CQ44" s="43">
        <f t="shared" si="54"/>
        <v>0</v>
      </c>
      <c r="CR44" s="43">
        <f t="shared" si="54"/>
        <v>0</v>
      </c>
      <c r="CS44" s="43">
        <f t="shared" si="54"/>
        <v>0</v>
      </c>
      <c r="CT44" s="43">
        <f t="shared" si="54"/>
        <v>0</v>
      </c>
      <c r="CU44" s="43">
        <f t="shared" si="54"/>
        <v>0</v>
      </c>
      <c r="CV44" s="43">
        <f t="shared" si="54"/>
        <v>0</v>
      </c>
      <c r="CW44" s="43">
        <f t="shared" si="54"/>
        <v>0</v>
      </c>
      <c r="CX44" s="36"/>
      <c r="CY44" s="72"/>
      <c r="CZ44" s="36"/>
      <c r="DA44" s="72"/>
      <c r="DB44" s="36"/>
      <c r="DC44" s="72"/>
      <c r="DD44" s="36"/>
      <c r="DE44" s="72"/>
      <c r="DF44" s="36"/>
      <c r="DG44" s="72"/>
      <c r="DH44" s="36"/>
      <c r="DI44" s="72"/>
      <c r="DJ44" s="36"/>
      <c r="DK44" s="72"/>
      <c r="DL44" s="36"/>
      <c r="DM44" s="72"/>
      <c r="DN44" s="36"/>
      <c r="DO44" s="72"/>
      <c r="DP44" s="36"/>
      <c r="DQ44" s="72"/>
      <c r="DR44" s="36"/>
      <c r="DS44" s="72"/>
      <c r="DT44" s="36"/>
      <c r="DU44" s="72"/>
      <c r="DV44" s="37">
        <f t="shared" ref="DV44:DW44" si="55">CX44+CZ44+DB44+DD44+DF44+DH44+DJ44+DL44+DN44+DP44+DR44+DT44</f>
        <v>0</v>
      </c>
      <c r="DW44" s="38">
        <f t="shared" si="55"/>
        <v>0</v>
      </c>
    </row>
    <row r="45" spans="1:127" ht="15.75" customHeight="1">
      <c r="A45" s="73"/>
      <c r="B45" s="74"/>
      <c r="C45" s="75"/>
      <c r="D45" s="75"/>
      <c r="E45" s="75"/>
      <c r="F45" s="74"/>
      <c r="G45" s="139" t="s">
        <v>12</v>
      </c>
      <c r="H45" s="130"/>
      <c r="I45" s="130"/>
      <c r="J45" s="130"/>
      <c r="K45" s="130"/>
      <c r="L45" s="130"/>
      <c r="M45" s="131"/>
      <c r="N45" s="132" t="str">
        <f>H8</f>
        <v>CE</v>
      </c>
      <c r="O45" s="133"/>
      <c r="P45" s="43">
        <f t="shared" ref="P45:AU45" si="56">COUNTIF(P9:P37,"CE")</f>
        <v>0</v>
      </c>
      <c r="Q45" s="43">
        <f t="shared" si="56"/>
        <v>0</v>
      </c>
      <c r="R45" s="43">
        <f t="shared" si="56"/>
        <v>0</v>
      </c>
      <c r="S45" s="43">
        <f t="shared" si="56"/>
        <v>0</v>
      </c>
      <c r="T45" s="43">
        <f t="shared" si="56"/>
        <v>0</v>
      </c>
      <c r="U45" s="43">
        <f t="shared" si="56"/>
        <v>0</v>
      </c>
      <c r="V45" s="43">
        <f t="shared" si="56"/>
        <v>0</v>
      </c>
      <c r="W45" s="43">
        <f t="shared" si="56"/>
        <v>0</v>
      </c>
      <c r="X45" s="43">
        <f t="shared" si="56"/>
        <v>0</v>
      </c>
      <c r="Y45" s="43">
        <f t="shared" si="56"/>
        <v>0</v>
      </c>
      <c r="Z45" s="43">
        <f t="shared" si="56"/>
        <v>0</v>
      </c>
      <c r="AA45" s="43">
        <f t="shared" si="56"/>
        <v>0</v>
      </c>
      <c r="AB45" s="43">
        <f t="shared" si="56"/>
        <v>0</v>
      </c>
      <c r="AC45" s="43">
        <f t="shared" si="56"/>
        <v>0</v>
      </c>
      <c r="AD45" s="43">
        <f t="shared" si="56"/>
        <v>0</v>
      </c>
      <c r="AE45" s="43">
        <f t="shared" si="56"/>
        <v>0</v>
      </c>
      <c r="AF45" s="43">
        <f t="shared" si="56"/>
        <v>0</v>
      </c>
      <c r="AG45" s="43">
        <f t="shared" si="56"/>
        <v>0</v>
      </c>
      <c r="AH45" s="43">
        <f t="shared" si="56"/>
        <v>0</v>
      </c>
      <c r="AI45" s="43">
        <f t="shared" si="56"/>
        <v>0</v>
      </c>
      <c r="AJ45" s="43">
        <f t="shared" si="56"/>
        <v>0</v>
      </c>
      <c r="AK45" s="43">
        <f t="shared" si="56"/>
        <v>0</v>
      </c>
      <c r="AL45" s="43">
        <f t="shared" si="56"/>
        <v>0</v>
      </c>
      <c r="AM45" s="43">
        <f t="shared" si="56"/>
        <v>0</v>
      </c>
      <c r="AN45" s="43">
        <f t="shared" si="56"/>
        <v>0</v>
      </c>
      <c r="AO45" s="43">
        <f t="shared" si="56"/>
        <v>0</v>
      </c>
      <c r="AP45" s="43">
        <f t="shared" si="56"/>
        <v>0</v>
      </c>
      <c r="AQ45" s="43">
        <f t="shared" si="56"/>
        <v>0</v>
      </c>
      <c r="AR45" s="43">
        <f t="shared" si="56"/>
        <v>0</v>
      </c>
      <c r="AS45" s="43">
        <f t="shared" si="56"/>
        <v>0</v>
      </c>
      <c r="AT45" s="43">
        <f t="shared" si="56"/>
        <v>0</v>
      </c>
      <c r="AU45" s="43">
        <f t="shared" si="56"/>
        <v>0</v>
      </c>
      <c r="AV45" s="43">
        <f t="shared" ref="AV45:CA45" si="57">COUNTIF(AV9:AV37,"CE")</f>
        <v>0</v>
      </c>
      <c r="AW45" s="43">
        <f t="shared" si="57"/>
        <v>0</v>
      </c>
      <c r="AX45" s="43">
        <f t="shared" si="57"/>
        <v>0</v>
      </c>
      <c r="AY45" s="43">
        <f t="shared" si="57"/>
        <v>0</v>
      </c>
      <c r="AZ45" s="43">
        <f t="shared" si="57"/>
        <v>0</v>
      </c>
      <c r="BA45" s="43">
        <f t="shared" si="57"/>
        <v>0</v>
      </c>
      <c r="BB45" s="43">
        <f t="shared" si="57"/>
        <v>0</v>
      </c>
      <c r="BC45" s="43">
        <f t="shared" si="57"/>
        <v>0</v>
      </c>
      <c r="BD45" s="43">
        <f t="shared" si="57"/>
        <v>0</v>
      </c>
      <c r="BE45" s="43">
        <f t="shared" si="57"/>
        <v>0</v>
      </c>
      <c r="BF45" s="43">
        <f t="shared" si="57"/>
        <v>0</v>
      </c>
      <c r="BG45" s="43">
        <f t="shared" si="57"/>
        <v>0</v>
      </c>
      <c r="BH45" s="43">
        <f t="shared" si="57"/>
        <v>0</v>
      </c>
      <c r="BI45" s="43">
        <f t="shared" si="57"/>
        <v>0</v>
      </c>
      <c r="BJ45" s="43">
        <f t="shared" si="57"/>
        <v>0</v>
      </c>
      <c r="BK45" s="43">
        <f t="shared" si="57"/>
        <v>0</v>
      </c>
      <c r="BL45" s="43">
        <f t="shared" si="57"/>
        <v>0</v>
      </c>
      <c r="BM45" s="43">
        <f t="shared" si="57"/>
        <v>0</v>
      </c>
      <c r="BN45" s="43">
        <f t="shared" si="57"/>
        <v>0</v>
      </c>
      <c r="BO45" s="43">
        <f t="shared" si="57"/>
        <v>0</v>
      </c>
      <c r="BP45" s="43">
        <f t="shared" si="57"/>
        <v>0</v>
      </c>
      <c r="BQ45" s="43">
        <f t="shared" si="57"/>
        <v>0</v>
      </c>
      <c r="BR45" s="43">
        <f t="shared" si="57"/>
        <v>0</v>
      </c>
      <c r="BS45" s="43">
        <f t="shared" si="57"/>
        <v>0</v>
      </c>
      <c r="BT45" s="43">
        <f t="shared" si="57"/>
        <v>0</v>
      </c>
      <c r="BU45" s="43">
        <f t="shared" si="57"/>
        <v>0</v>
      </c>
      <c r="BV45" s="43">
        <f t="shared" si="57"/>
        <v>0</v>
      </c>
      <c r="BW45" s="43">
        <f t="shared" si="57"/>
        <v>0</v>
      </c>
      <c r="BX45" s="43">
        <f t="shared" si="57"/>
        <v>0</v>
      </c>
      <c r="BY45" s="43">
        <f t="shared" si="57"/>
        <v>0</v>
      </c>
      <c r="BZ45" s="43">
        <f t="shared" si="57"/>
        <v>0</v>
      </c>
      <c r="CA45" s="43">
        <f t="shared" si="57"/>
        <v>0</v>
      </c>
      <c r="CB45" s="43">
        <f t="shared" ref="CB45:CW45" si="58">COUNTIF(CB9:CB37,"CE")</f>
        <v>0</v>
      </c>
      <c r="CC45" s="43">
        <f t="shared" si="58"/>
        <v>0</v>
      </c>
      <c r="CD45" s="43">
        <f t="shared" si="58"/>
        <v>0</v>
      </c>
      <c r="CE45" s="43">
        <f t="shared" si="58"/>
        <v>0</v>
      </c>
      <c r="CF45" s="43">
        <f t="shared" si="58"/>
        <v>0</v>
      </c>
      <c r="CG45" s="43">
        <f t="shared" si="58"/>
        <v>0</v>
      </c>
      <c r="CH45" s="43">
        <f t="shared" si="58"/>
        <v>0</v>
      </c>
      <c r="CI45" s="43">
        <f t="shared" si="58"/>
        <v>0</v>
      </c>
      <c r="CJ45" s="43">
        <f t="shared" si="58"/>
        <v>0</v>
      </c>
      <c r="CK45" s="43">
        <f t="shared" si="58"/>
        <v>0</v>
      </c>
      <c r="CL45" s="43">
        <f t="shared" si="58"/>
        <v>0</v>
      </c>
      <c r="CM45" s="43">
        <f t="shared" si="58"/>
        <v>0</v>
      </c>
      <c r="CN45" s="43">
        <f t="shared" si="58"/>
        <v>0</v>
      </c>
      <c r="CO45" s="43">
        <f t="shared" si="58"/>
        <v>0</v>
      </c>
      <c r="CP45" s="43">
        <f t="shared" si="58"/>
        <v>0</v>
      </c>
      <c r="CQ45" s="43">
        <f t="shared" si="58"/>
        <v>0</v>
      </c>
      <c r="CR45" s="43">
        <f t="shared" si="58"/>
        <v>0</v>
      </c>
      <c r="CS45" s="43">
        <f t="shared" si="58"/>
        <v>0</v>
      </c>
      <c r="CT45" s="43">
        <f t="shared" si="58"/>
        <v>0</v>
      </c>
      <c r="CU45" s="43">
        <f t="shared" si="58"/>
        <v>0</v>
      </c>
      <c r="CV45" s="43">
        <f t="shared" si="58"/>
        <v>0</v>
      </c>
      <c r="CW45" s="43">
        <f t="shared" si="58"/>
        <v>0</v>
      </c>
      <c r="CX45" s="36"/>
      <c r="CY45" s="72"/>
      <c r="CZ45" s="36"/>
      <c r="DA45" s="72"/>
      <c r="DB45" s="36"/>
      <c r="DC45" s="72"/>
      <c r="DD45" s="36"/>
      <c r="DE45" s="72"/>
      <c r="DF45" s="36"/>
      <c r="DG45" s="72"/>
      <c r="DH45" s="36"/>
      <c r="DI45" s="72"/>
      <c r="DJ45" s="36"/>
      <c r="DK45" s="72"/>
      <c r="DL45" s="36"/>
      <c r="DM45" s="72"/>
      <c r="DN45" s="36"/>
      <c r="DO45" s="72"/>
      <c r="DP45" s="36"/>
      <c r="DQ45" s="72"/>
      <c r="DR45" s="36"/>
      <c r="DS45" s="72"/>
      <c r="DT45" s="36"/>
      <c r="DU45" s="72"/>
      <c r="DV45" s="37">
        <f t="shared" ref="DV45:DW45" si="59">CX45+CZ45+DB45+DD45+DF45+DH45+DJ45+DL45+DN45+DP45+DR45+DT45</f>
        <v>0</v>
      </c>
      <c r="DW45" s="38">
        <f t="shared" si="59"/>
        <v>0</v>
      </c>
    </row>
    <row r="46" spans="1:127" ht="15.75" customHeight="1">
      <c r="A46" s="73"/>
      <c r="B46" s="74"/>
      <c r="C46" s="75"/>
      <c r="D46" s="75"/>
      <c r="E46" s="75"/>
      <c r="F46" s="74"/>
      <c r="G46" s="140" t="s">
        <v>14</v>
      </c>
      <c r="H46" s="130"/>
      <c r="I46" s="130"/>
      <c r="J46" s="130"/>
      <c r="K46" s="130"/>
      <c r="L46" s="130"/>
      <c r="M46" s="131"/>
      <c r="N46" s="132" t="str">
        <f>I8</f>
        <v>SE</v>
      </c>
      <c r="O46" s="133"/>
      <c r="P46" s="43">
        <f t="shared" ref="P46:AU46" si="60">COUNTIF(P9:P37,"SE")</f>
        <v>0</v>
      </c>
      <c r="Q46" s="43">
        <f t="shared" si="60"/>
        <v>0</v>
      </c>
      <c r="R46" s="43">
        <f t="shared" si="60"/>
        <v>0</v>
      </c>
      <c r="S46" s="43">
        <f t="shared" si="60"/>
        <v>0</v>
      </c>
      <c r="T46" s="43">
        <f t="shared" si="60"/>
        <v>0</v>
      </c>
      <c r="U46" s="43">
        <f t="shared" si="60"/>
        <v>0</v>
      </c>
      <c r="V46" s="43">
        <f t="shared" si="60"/>
        <v>2</v>
      </c>
      <c r="W46" s="43">
        <f t="shared" si="60"/>
        <v>2</v>
      </c>
      <c r="X46" s="43">
        <f t="shared" si="60"/>
        <v>0</v>
      </c>
      <c r="Y46" s="43">
        <f t="shared" si="60"/>
        <v>0</v>
      </c>
      <c r="Z46" s="43">
        <f t="shared" si="60"/>
        <v>0</v>
      </c>
      <c r="AA46" s="43">
        <f t="shared" si="60"/>
        <v>0</v>
      </c>
      <c r="AB46" s="43">
        <f t="shared" si="60"/>
        <v>0</v>
      </c>
      <c r="AC46" s="43">
        <f t="shared" si="60"/>
        <v>0</v>
      </c>
      <c r="AD46" s="43">
        <f t="shared" si="60"/>
        <v>0</v>
      </c>
      <c r="AE46" s="43">
        <f t="shared" si="60"/>
        <v>0</v>
      </c>
      <c r="AF46" s="43">
        <f t="shared" si="60"/>
        <v>0</v>
      </c>
      <c r="AG46" s="43">
        <f t="shared" si="60"/>
        <v>0</v>
      </c>
      <c r="AH46" s="43">
        <f t="shared" si="60"/>
        <v>0</v>
      </c>
      <c r="AI46" s="43">
        <f t="shared" si="60"/>
        <v>0</v>
      </c>
      <c r="AJ46" s="43">
        <f t="shared" si="60"/>
        <v>0</v>
      </c>
      <c r="AK46" s="43">
        <f t="shared" si="60"/>
        <v>0</v>
      </c>
      <c r="AL46" s="43">
        <f t="shared" si="60"/>
        <v>0</v>
      </c>
      <c r="AM46" s="43">
        <f t="shared" si="60"/>
        <v>0</v>
      </c>
      <c r="AN46" s="43">
        <f t="shared" si="60"/>
        <v>0</v>
      </c>
      <c r="AO46" s="43">
        <f t="shared" si="60"/>
        <v>0</v>
      </c>
      <c r="AP46" s="43">
        <f t="shared" si="60"/>
        <v>0</v>
      </c>
      <c r="AQ46" s="43">
        <f t="shared" si="60"/>
        <v>0</v>
      </c>
      <c r="AR46" s="43">
        <f t="shared" si="60"/>
        <v>0</v>
      </c>
      <c r="AS46" s="43">
        <f t="shared" si="60"/>
        <v>0</v>
      </c>
      <c r="AT46" s="43">
        <f t="shared" si="60"/>
        <v>0</v>
      </c>
      <c r="AU46" s="43">
        <f t="shared" si="60"/>
        <v>0</v>
      </c>
      <c r="AV46" s="43">
        <f t="shared" ref="AV46:CA46" si="61">COUNTIF(AV9:AV37,"SE")</f>
        <v>0</v>
      </c>
      <c r="AW46" s="43">
        <f t="shared" si="61"/>
        <v>0</v>
      </c>
      <c r="AX46" s="43">
        <f t="shared" si="61"/>
        <v>0</v>
      </c>
      <c r="AY46" s="43">
        <f t="shared" si="61"/>
        <v>0</v>
      </c>
      <c r="AZ46" s="43">
        <f t="shared" si="61"/>
        <v>0</v>
      </c>
      <c r="BA46" s="43">
        <f t="shared" si="61"/>
        <v>0</v>
      </c>
      <c r="BB46" s="43">
        <f t="shared" si="61"/>
        <v>0</v>
      </c>
      <c r="BC46" s="43">
        <f t="shared" si="61"/>
        <v>0</v>
      </c>
      <c r="BD46" s="43">
        <f t="shared" si="61"/>
        <v>0</v>
      </c>
      <c r="BE46" s="43">
        <f t="shared" si="61"/>
        <v>0</v>
      </c>
      <c r="BF46" s="43">
        <f t="shared" si="61"/>
        <v>0</v>
      </c>
      <c r="BG46" s="43">
        <f t="shared" si="61"/>
        <v>0</v>
      </c>
      <c r="BH46" s="43">
        <f t="shared" si="61"/>
        <v>0</v>
      </c>
      <c r="BI46" s="43">
        <f t="shared" si="61"/>
        <v>0</v>
      </c>
      <c r="BJ46" s="43">
        <f t="shared" si="61"/>
        <v>0</v>
      </c>
      <c r="BK46" s="43">
        <f t="shared" si="61"/>
        <v>0</v>
      </c>
      <c r="BL46" s="43">
        <f t="shared" si="61"/>
        <v>0</v>
      </c>
      <c r="BM46" s="43">
        <f t="shared" si="61"/>
        <v>0</v>
      </c>
      <c r="BN46" s="43">
        <f t="shared" si="61"/>
        <v>0</v>
      </c>
      <c r="BO46" s="43">
        <f t="shared" si="61"/>
        <v>0</v>
      </c>
      <c r="BP46" s="43">
        <f t="shared" si="61"/>
        <v>0</v>
      </c>
      <c r="BQ46" s="43">
        <f t="shared" si="61"/>
        <v>0</v>
      </c>
      <c r="BR46" s="43">
        <f t="shared" si="61"/>
        <v>0</v>
      </c>
      <c r="BS46" s="43">
        <f t="shared" si="61"/>
        <v>0</v>
      </c>
      <c r="BT46" s="43">
        <f t="shared" si="61"/>
        <v>0</v>
      </c>
      <c r="BU46" s="43">
        <f t="shared" si="61"/>
        <v>0</v>
      </c>
      <c r="BV46" s="43">
        <f t="shared" si="61"/>
        <v>0</v>
      </c>
      <c r="BW46" s="43">
        <f t="shared" si="61"/>
        <v>0</v>
      </c>
      <c r="BX46" s="43">
        <f t="shared" si="61"/>
        <v>0</v>
      </c>
      <c r="BY46" s="43">
        <f t="shared" si="61"/>
        <v>0</v>
      </c>
      <c r="BZ46" s="43">
        <f t="shared" si="61"/>
        <v>0</v>
      </c>
      <c r="CA46" s="43">
        <f t="shared" si="61"/>
        <v>0</v>
      </c>
      <c r="CB46" s="43">
        <f t="shared" ref="CB46:CW46" si="62">COUNTIF(CB9:CB37,"SE")</f>
        <v>0</v>
      </c>
      <c r="CC46" s="43">
        <f t="shared" si="62"/>
        <v>0</v>
      </c>
      <c r="CD46" s="43">
        <f t="shared" si="62"/>
        <v>0</v>
      </c>
      <c r="CE46" s="43">
        <f t="shared" si="62"/>
        <v>0</v>
      </c>
      <c r="CF46" s="43">
        <f t="shared" si="62"/>
        <v>0</v>
      </c>
      <c r="CG46" s="43">
        <f t="shared" si="62"/>
        <v>0</v>
      </c>
      <c r="CH46" s="43">
        <f t="shared" si="62"/>
        <v>0</v>
      </c>
      <c r="CI46" s="43">
        <f t="shared" si="62"/>
        <v>0</v>
      </c>
      <c r="CJ46" s="43">
        <f t="shared" si="62"/>
        <v>0</v>
      </c>
      <c r="CK46" s="43">
        <f t="shared" si="62"/>
        <v>0</v>
      </c>
      <c r="CL46" s="43">
        <f t="shared" si="62"/>
        <v>0</v>
      </c>
      <c r="CM46" s="43">
        <f t="shared" si="62"/>
        <v>0</v>
      </c>
      <c r="CN46" s="43">
        <f t="shared" si="62"/>
        <v>0</v>
      </c>
      <c r="CO46" s="43">
        <f t="shared" si="62"/>
        <v>0</v>
      </c>
      <c r="CP46" s="43">
        <f t="shared" si="62"/>
        <v>0</v>
      </c>
      <c r="CQ46" s="43">
        <f t="shared" si="62"/>
        <v>0</v>
      </c>
      <c r="CR46" s="43">
        <f t="shared" si="62"/>
        <v>0</v>
      </c>
      <c r="CS46" s="43">
        <f t="shared" si="62"/>
        <v>0</v>
      </c>
      <c r="CT46" s="43">
        <f t="shared" si="62"/>
        <v>0</v>
      </c>
      <c r="CU46" s="43">
        <f t="shared" si="62"/>
        <v>0</v>
      </c>
      <c r="CV46" s="43">
        <f t="shared" si="62"/>
        <v>0</v>
      </c>
      <c r="CW46" s="43">
        <f t="shared" si="62"/>
        <v>0</v>
      </c>
      <c r="CX46" s="36"/>
      <c r="CY46" s="72"/>
      <c r="CZ46" s="36"/>
      <c r="DA46" s="72"/>
      <c r="DB46" s="36"/>
      <c r="DC46" s="72"/>
      <c r="DD46" s="36"/>
      <c r="DE46" s="72"/>
      <c r="DF46" s="36"/>
      <c r="DG46" s="72"/>
      <c r="DH46" s="36"/>
      <c r="DI46" s="72"/>
      <c r="DJ46" s="36"/>
      <c r="DK46" s="72"/>
      <c r="DL46" s="36"/>
      <c r="DM46" s="72"/>
      <c r="DN46" s="36"/>
      <c r="DO46" s="72"/>
      <c r="DP46" s="36"/>
      <c r="DQ46" s="72"/>
      <c r="DR46" s="36"/>
      <c r="DS46" s="72"/>
      <c r="DT46" s="36"/>
      <c r="DU46" s="72"/>
      <c r="DV46" s="37">
        <f t="shared" ref="DV46:DW46" si="63">CX46+CZ46+DB46+DD46+DF46+DH46+DJ46+DL46+DN46+DP46+DR46+DT46</f>
        <v>0</v>
      </c>
      <c r="DW46" s="38">
        <f t="shared" si="63"/>
        <v>0</v>
      </c>
    </row>
    <row r="47" spans="1:127" ht="15.75" customHeight="1">
      <c r="A47" s="73"/>
      <c r="B47" s="74"/>
      <c r="C47" s="75"/>
      <c r="D47" s="75"/>
      <c r="E47" s="75"/>
      <c r="F47" s="44"/>
      <c r="G47" s="141" t="s">
        <v>62</v>
      </c>
      <c r="H47" s="130"/>
      <c r="I47" s="130"/>
      <c r="J47" s="130"/>
      <c r="K47" s="130"/>
      <c r="L47" s="130"/>
      <c r="M47" s="131"/>
      <c r="N47" s="132" t="str">
        <f>J8</f>
        <v>INC</v>
      </c>
      <c r="O47" s="133"/>
      <c r="P47" s="43">
        <f t="shared" ref="P47:AU47" si="64">COUNTIF(P9:P37,"INC")</f>
        <v>0</v>
      </c>
      <c r="Q47" s="43">
        <f t="shared" si="64"/>
        <v>0</v>
      </c>
      <c r="R47" s="43">
        <f t="shared" si="64"/>
        <v>0</v>
      </c>
      <c r="S47" s="43">
        <f t="shared" si="64"/>
        <v>0</v>
      </c>
      <c r="T47" s="43">
        <f t="shared" si="64"/>
        <v>0</v>
      </c>
      <c r="U47" s="43">
        <f t="shared" si="64"/>
        <v>0</v>
      </c>
      <c r="V47" s="43">
        <f t="shared" si="64"/>
        <v>0</v>
      </c>
      <c r="W47" s="43">
        <f t="shared" si="64"/>
        <v>0</v>
      </c>
      <c r="X47" s="43">
        <f t="shared" si="64"/>
        <v>0</v>
      </c>
      <c r="Y47" s="43">
        <f t="shared" si="64"/>
        <v>0</v>
      </c>
      <c r="Z47" s="43">
        <f t="shared" si="64"/>
        <v>0</v>
      </c>
      <c r="AA47" s="43">
        <f t="shared" si="64"/>
        <v>0</v>
      </c>
      <c r="AB47" s="43">
        <f t="shared" si="64"/>
        <v>0</v>
      </c>
      <c r="AC47" s="43">
        <f t="shared" si="64"/>
        <v>0</v>
      </c>
      <c r="AD47" s="43">
        <f t="shared" si="64"/>
        <v>0</v>
      </c>
      <c r="AE47" s="43">
        <f t="shared" si="64"/>
        <v>0</v>
      </c>
      <c r="AF47" s="43">
        <f t="shared" si="64"/>
        <v>0</v>
      </c>
      <c r="AG47" s="43">
        <f t="shared" si="64"/>
        <v>0</v>
      </c>
      <c r="AH47" s="43">
        <f t="shared" si="64"/>
        <v>0</v>
      </c>
      <c r="AI47" s="43">
        <f t="shared" si="64"/>
        <v>0</v>
      </c>
      <c r="AJ47" s="43">
        <f t="shared" si="64"/>
        <v>0</v>
      </c>
      <c r="AK47" s="43">
        <f t="shared" si="64"/>
        <v>0</v>
      </c>
      <c r="AL47" s="43">
        <f t="shared" si="64"/>
        <v>0</v>
      </c>
      <c r="AM47" s="43">
        <f t="shared" si="64"/>
        <v>0</v>
      </c>
      <c r="AN47" s="43">
        <f t="shared" si="64"/>
        <v>0</v>
      </c>
      <c r="AO47" s="43">
        <f t="shared" si="64"/>
        <v>0</v>
      </c>
      <c r="AP47" s="43">
        <f t="shared" si="64"/>
        <v>0</v>
      </c>
      <c r="AQ47" s="43">
        <f t="shared" si="64"/>
        <v>0</v>
      </c>
      <c r="AR47" s="43">
        <f t="shared" si="64"/>
        <v>0</v>
      </c>
      <c r="AS47" s="43">
        <f t="shared" si="64"/>
        <v>0</v>
      </c>
      <c r="AT47" s="43">
        <f t="shared" si="64"/>
        <v>0</v>
      </c>
      <c r="AU47" s="43">
        <f t="shared" si="64"/>
        <v>0</v>
      </c>
      <c r="AV47" s="43">
        <f t="shared" ref="AV47:CA47" si="65">COUNTIF(AV9:AV37,"INC")</f>
        <v>0</v>
      </c>
      <c r="AW47" s="43">
        <f t="shared" si="65"/>
        <v>0</v>
      </c>
      <c r="AX47" s="43">
        <f t="shared" si="65"/>
        <v>0</v>
      </c>
      <c r="AY47" s="43">
        <f t="shared" si="65"/>
        <v>0</v>
      </c>
      <c r="AZ47" s="43">
        <f t="shared" si="65"/>
        <v>0</v>
      </c>
      <c r="BA47" s="43">
        <f t="shared" si="65"/>
        <v>0</v>
      </c>
      <c r="BB47" s="43">
        <f t="shared" si="65"/>
        <v>0</v>
      </c>
      <c r="BC47" s="43">
        <f t="shared" si="65"/>
        <v>0</v>
      </c>
      <c r="BD47" s="43">
        <f t="shared" si="65"/>
        <v>0</v>
      </c>
      <c r="BE47" s="43">
        <f t="shared" si="65"/>
        <v>0</v>
      </c>
      <c r="BF47" s="43">
        <f t="shared" si="65"/>
        <v>0</v>
      </c>
      <c r="BG47" s="43">
        <f t="shared" si="65"/>
        <v>0</v>
      </c>
      <c r="BH47" s="43">
        <f t="shared" si="65"/>
        <v>0</v>
      </c>
      <c r="BI47" s="43">
        <f t="shared" si="65"/>
        <v>0</v>
      </c>
      <c r="BJ47" s="43">
        <f t="shared" si="65"/>
        <v>0</v>
      </c>
      <c r="BK47" s="43">
        <f t="shared" si="65"/>
        <v>0</v>
      </c>
      <c r="BL47" s="43">
        <f t="shared" si="65"/>
        <v>0</v>
      </c>
      <c r="BM47" s="43">
        <f t="shared" si="65"/>
        <v>0</v>
      </c>
      <c r="BN47" s="43">
        <f t="shared" si="65"/>
        <v>0</v>
      </c>
      <c r="BO47" s="43">
        <f t="shared" si="65"/>
        <v>0</v>
      </c>
      <c r="BP47" s="43">
        <f t="shared" si="65"/>
        <v>0</v>
      </c>
      <c r="BQ47" s="43">
        <f t="shared" si="65"/>
        <v>0</v>
      </c>
      <c r="BR47" s="43">
        <f t="shared" si="65"/>
        <v>0</v>
      </c>
      <c r="BS47" s="43">
        <f t="shared" si="65"/>
        <v>0</v>
      </c>
      <c r="BT47" s="43">
        <f t="shared" si="65"/>
        <v>0</v>
      </c>
      <c r="BU47" s="43">
        <f t="shared" si="65"/>
        <v>0</v>
      </c>
      <c r="BV47" s="43">
        <f t="shared" si="65"/>
        <v>0</v>
      </c>
      <c r="BW47" s="43">
        <f t="shared" si="65"/>
        <v>0</v>
      </c>
      <c r="BX47" s="43">
        <f t="shared" si="65"/>
        <v>0</v>
      </c>
      <c r="BY47" s="43">
        <f t="shared" si="65"/>
        <v>0</v>
      </c>
      <c r="BZ47" s="43">
        <f t="shared" si="65"/>
        <v>0</v>
      </c>
      <c r="CA47" s="43">
        <f t="shared" si="65"/>
        <v>0</v>
      </c>
      <c r="CB47" s="43">
        <f t="shared" ref="CB47:CW47" si="66">COUNTIF(CB9:CB37,"INC")</f>
        <v>0</v>
      </c>
      <c r="CC47" s="43">
        <f t="shared" si="66"/>
        <v>0</v>
      </c>
      <c r="CD47" s="43">
        <f t="shared" si="66"/>
        <v>0</v>
      </c>
      <c r="CE47" s="43">
        <f t="shared" si="66"/>
        <v>0</v>
      </c>
      <c r="CF47" s="43">
        <f t="shared" si="66"/>
        <v>0</v>
      </c>
      <c r="CG47" s="43">
        <f t="shared" si="66"/>
        <v>0</v>
      </c>
      <c r="CH47" s="43">
        <f t="shared" si="66"/>
        <v>0</v>
      </c>
      <c r="CI47" s="43">
        <f t="shared" si="66"/>
        <v>0</v>
      </c>
      <c r="CJ47" s="43">
        <f t="shared" si="66"/>
        <v>0</v>
      </c>
      <c r="CK47" s="43">
        <f t="shared" si="66"/>
        <v>0</v>
      </c>
      <c r="CL47" s="43">
        <f t="shared" si="66"/>
        <v>0</v>
      </c>
      <c r="CM47" s="43">
        <f t="shared" si="66"/>
        <v>0</v>
      </c>
      <c r="CN47" s="43">
        <f t="shared" si="66"/>
        <v>0</v>
      </c>
      <c r="CO47" s="43">
        <f t="shared" si="66"/>
        <v>0</v>
      </c>
      <c r="CP47" s="43">
        <f t="shared" si="66"/>
        <v>0</v>
      </c>
      <c r="CQ47" s="43">
        <f t="shared" si="66"/>
        <v>0</v>
      </c>
      <c r="CR47" s="43">
        <f t="shared" si="66"/>
        <v>0</v>
      </c>
      <c r="CS47" s="43">
        <f t="shared" si="66"/>
        <v>0</v>
      </c>
      <c r="CT47" s="43">
        <f t="shared" si="66"/>
        <v>0</v>
      </c>
      <c r="CU47" s="43">
        <f t="shared" si="66"/>
        <v>0</v>
      </c>
      <c r="CV47" s="43">
        <f t="shared" si="66"/>
        <v>0</v>
      </c>
      <c r="CW47" s="43">
        <f t="shared" si="66"/>
        <v>0</v>
      </c>
      <c r="CX47" s="36"/>
      <c r="CY47" s="72"/>
      <c r="CZ47" s="36"/>
      <c r="DA47" s="72"/>
      <c r="DB47" s="36"/>
      <c r="DC47" s="72"/>
      <c r="DD47" s="36"/>
      <c r="DE47" s="72"/>
      <c r="DF47" s="36"/>
      <c r="DG47" s="72"/>
      <c r="DH47" s="36"/>
      <c r="DI47" s="72"/>
      <c r="DJ47" s="36"/>
      <c r="DK47" s="72"/>
      <c r="DL47" s="36"/>
      <c r="DM47" s="72"/>
      <c r="DN47" s="36"/>
      <c r="DO47" s="72"/>
      <c r="DP47" s="36"/>
      <c r="DQ47" s="72"/>
      <c r="DR47" s="36"/>
      <c r="DS47" s="72"/>
      <c r="DT47" s="36"/>
      <c r="DU47" s="72"/>
      <c r="DV47" s="37">
        <f t="shared" ref="DV47:DW47" si="67">CX47+CZ47+DB47+DD47+DF47+DH47+DJ47+DL47+DN47+DP47+DR47+DT47</f>
        <v>0</v>
      </c>
      <c r="DW47" s="38">
        <f t="shared" si="67"/>
        <v>0</v>
      </c>
    </row>
    <row r="48" spans="1:127" ht="15.75" customHeight="1">
      <c r="A48" s="73"/>
      <c r="B48" s="74"/>
      <c r="C48" s="75"/>
      <c r="D48" s="75"/>
      <c r="E48" s="75"/>
      <c r="F48" s="74"/>
      <c r="G48" s="136" t="s">
        <v>63</v>
      </c>
      <c r="H48" s="130"/>
      <c r="I48" s="130"/>
      <c r="J48" s="130"/>
      <c r="K48" s="130"/>
      <c r="L48" s="130"/>
      <c r="M48" s="131"/>
      <c r="N48" s="132" t="str">
        <f>K8</f>
        <v>LIC</v>
      </c>
      <c r="O48" s="133"/>
      <c r="P48" s="43">
        <f t="shared" ref="P48:AU48" si="68">COUNTIF(P9:P37,"LIC")</f>
        <v>0</v>
      </c>
      <c r="Q48" s="43">
        <f t="shared" si="68"/>
        <v>0</v>
      </c>
      <c r="R48" s="43">
        <f t="shared" si="68"/>
        <v>0</v>
      </c>
      <c r="S48" s="43">
        <f t="shared" si="68"/>
        <v>0</v>
      </c>
      <c r="T48" s="43">
        <f t="shared" si="68"/>
        <v>0</v>
      </c>
      <c r="U48" s="43">
        <f t="shared" si="68"/>
        <v>0</v>
      </c>
      <c r="V48" s="43">
        <f t="shared" si="68"/>
        <v>0</v>
      </c>
      <c r="W48" s="43">
        <f t="shared" si="68"/>
        <v>0</v>
      </c>
      <c r="X48" s="43">
        <f t="shared" si="68"/>
        <v>0</v>
      </c>
      <c r="Y48" s="43">
        <f t="shared" si="68"/>
        <v>0</v>
      </c>
      <c r="Z48" s="43">
        <f t="shared" si="68"/>
        <v>0</v>
      </c>
      <c r="AA48" s="43">
        <f t="shared" si="68"/>
        <v>0</v>
      </c>
      <c r="AB48" s="43">
        <f t="shared" si="68"/>
        <v>0</v>
      </c>
      <c r="AC48" s="43">
        <f t="shared" si="68"/>
        <v>0</v>
      </c>
      <c r="AD48" s="43">
        <f t="shared" si="68"/>
        <v>0</v>
      </c>
      <c r="AE48" s="43">
        <f t="shared" si="68"/>
        <v>0</v>
      </c>
      <c r="AF48" s="43">
        <f t="shared" si="68"/>
        <v>0</v>
      </c>
      <c r="AG48" s="43">
        <f t="shared" si="68"/>
        <v>0</v>
      </c>
      <c r="AH48" s="43">
        <f t="shared" si="68"/>
        <v>0</v>
      </c>
      <c r="AI48" s="43">
        <f t="shared" si="68"/>
        <v>0</v>
      </c>
      <c r="AJ48" s="43">
        <f t="shared" si="68"/>
        <v>0</v>
      </c>
      <c r="AK48" s="43">
        <f t="shared" si="68"/>
        <v>0</v>
      </c>
      <c r="AL48" s="43">
        <f t="shared" si="68"/>
        <v>0</v>
      </c>
      <c r="AM48" s="43">
        <f t="shared" si="68"/>
        <v>0</v>
      </c>
      <c r="AN48" s="43">
        <f t="shared" si="68"/>
        <v>0</v>
      </c>
      <c r="AO48" s="43">
        <f t="shared" si="68"/>
        <v>0</v>
      </c>
      <c r="AP48" s="43">
        <f t="shared" si="68"/>
        <v>0</v>
      </c>
      <c r="AQ48" s="43">
        <f t="shared" si="68"/>
        <v>0</v>
      </c>
      <c r="AR48" s="43">
        <f t="shared" si="68"/>
        <v>0</v>
      </c>
      <c r="AS48" s="43">
        <f t="shared" si="68"/>
        <v>0</v>
      </c>
      <c r="AT48" s="43">
        <f t="shared" si="68"/>
        <v>0</v>
      </c>
      <c r="AU48" s="43">
        <f t="shared" si="68"/>
        <v>0</v>
      </c>
      <c r="AV48" s="43">
        <f t="shared" ref="AV48:CA48" si="69">COUNTIF(AV9:AV37,"LIC")</f>
        <v>0</v>
      </c>
      <c r="AW48" s="43">
        <f t="shared" si="69"/>
        <v>0</v>
      </c>
      <c r="AX48" s="43">
        <f t="shared" si="69"/>
        <v>0</v>
      </c>
      <c r="AY48" s="43">
        <f t="shared" si="69"/>
        <v>0</v>
      </c>
      <c r="AZ48" s="43">
        <f t="shared" si="69"/>
        <v>0</v>
      </c>
      <c r="BA48" s="43">
        <f t="shared" si="69"/>
        <v>0</v>
      </c>
      <c r="BB48" s="43">
        <f t="shared" si="69"/>
        <v>0</v>
      </c>
      <c r="BC48" s="43">
        <f t="shared" si="69"/>
        <v>0</v>
      </c>
      <c r="BD48" s="43">
        <f t="shared" si="69"/>
        <v>0</v>
      </c>
      <c r="BE48" s="43">
        <f t="shared" si="69"/>
        <v>0</v>
      </c>
      <c r="BF48" s="43">
        <f t="shared" si="69"/>
        <v>0</v>
      </c>
      <c r="BG48" s="43">
        <f t="shared" si="69"/>
        <v>0</v>
      </c>
      <c r="BH48" s="43">
        <f t="shared" si="69"/>
        <v>0</v>
      </c>
      <c r="BI48" s="43">
        <f t="shared" si="69"/>
        <v>0</v>
      </c>
      <c r="BJ48" s="43">
        <f t="shared" si="69"/>
        <v>0</v>
      </c>
      <c r="BK48" s="43">
        <f t="shared" si="69"/>
        <v>0</v>
      </c>
      <c r="BL48" s="43">
        <f t="shared" si="69"/>
        <v>0</v>
      </c>
      <c r="BM48" s="43">
        <f t="shared" si="69"/>
        <v>0</v>
      </c>
      <c r="BN48" s="43">
        <f t="shared" si="69"/>
        <v>0</v>
      </c>
      <c r="BO48" s="43">
        <f t="shared" si="69"/>
        <v>0</v>
      </c>
      <c r="BP48" s="43">
        <f t="shared" si="69"/>
        <v>0</v>
      </c>
      <c r="BQ48" s="43">
        <f t="shared" si="69"/>
        <v>0</v>
      </c>
      <c r="BR48" s="43">
        <f t="shared" si="69"/>
        <v>0</v>
      </c>
      <c r="BS48" s="43">
        <f t="shared" si="69"/>
        <v>0</v>
      </c>
      <c r="BT48" s="43">
        <f t="shared" si="69"/>
        <v>0</v>
      </c>
      <c r="BU48" s="43">
        <f t="shared" si="69"/>
        <v>0</v>
      </c>
      <c r="BV48" s="43">
        <f t="shared" si="69"/>
        <v>0</v>
      </c>
      <c r="BW48" s="43">
        <f t="shared" si="69"/>
        <v>0</v>
      </c>
      <c r="BX48" s="43">
        <f t="shared" si="69"/>
        <v>0</v>
      </c>
      <c r="BY48" s="43">
        <f t="shared" si="69"/>
        <v>0</v>
      </c>
      <c r="BZ48" s="43">
        <f t="shared" si="69"/>
        <v>0</v>
      </c>
      <c r="CA48" s="43">
        <f t="shared" si="69"/>
        <v>0</v>
      </c>
      <c r="CB48" s="43">
        <f t="shared" ref="CB48:CW48" si="70">COUNTIF(CB9:CB37,"LIC")</f>
        <v>0</v>
      </c>
      <c r="CC48" s="43">
        <f t="shared" si="70"/>
        <v>0</v>
      </c>
      <c r="CD48" s="43">
        <f t="shared" si="70"/>
        <v>0</v>
      </c>
      <c r="CE48" s="43">
        <f t="shared" si="70"/>
        <v>0</v>
      </c>
      <c r="CF48" s="43">
        <f t="shared" si="70"/>
        <v>0</v>
      </c>
      <c r="CG48" s="43">
        <f t="shared" si="70"/>
        <v>0</v>
      </c>
      <c r="CH48" s="43">
        <f t="shared" si="70"/>
        <v>0</v>
      </c>
      <c r="CI48" s="43">
        <f t="shared" si="70"/>
        <v>0</v>
      </c>
      <c r="CJ48" s="43">
        <f t="shared" si="70"/>
        <v>0</v>
      </c>
      <c r="CK48" s="43">
        <f t="shared" si="70"/>
        <v>0</v>
      </c>
      <c r="CL48" s="43">
        <f t="shared" si="70"/>
        <v>0</v>
      </c>
      <c r="CM48" s="43">
        <f t="shared" si="70"/>
        <v>0</v>
      </c>
      <c r="CN48" s="43">
        <f t="shared" si="70"/>
        <v>0</v>
      </c>
      <c r="CO48" s="43">
        <f t="shared" si="70"/>
        <v>0</v>
      </c>
      <c r="CP48" s="43">
        <f t="shared" si="70"/>
        <v>0</v>
      </c>
      <c r="CQ48" s="43">
        <f t="shared" si="70"/>
        <v>0</v>
      </c>
      <c r="CR48" s="43">
        <f t="shared" si="70"/>
        <v>0</v>
      </c>
      <c r="CS48" s="43">
        <f t="shared" si="70"/>
        <v>0</v>
      </c>
      <c r="CT48" s="43">
        <f t="shared" si="70"/>
        <v>0</v>
      </c>
      <c r="CU48" s="43">
        <f t="shared" si="70"/>
        <v>0</v>
      </c>
      <c r="CV48" s="43">
        <f t="shared" si="70"/>
        <v>0</v>
      </c>
      <c r="CW48" s="43">
        <f t="shared" si="70"/>
        <v>0</v>
      </c>
      <c r="CX48" s="36"/>
      <c r="CY48" s="72"/>
      <c r="CZ48" s="36"/>
      <c r="DA48" s="72"/>
      <c r="DB48" s="36"/>
      <c r="DC48" s="72"/>
      <c r="DD48" s="36"/>
      <c r="DE48" s="72"/>
      <c r="DF48" s="36"/>
      <c r="DG48" s="72"/>
      <c r="DH48" s="36"/>
      <c r="DI48" s="72"/>
      <c r="DJ48" s="36"/>
      <c r="DK48" s="72"/>
      <c r="DL48" s="36"/>
      <c r="DM48" s="72"/>
      <c r="DN48" s="36"/>
      <c r="DO48" s="72"/>
      <c r="DP48" s="36"/>
      <c r="DQ48" s="72"/>
      <c r="DR48" s="36"/>
      <c r="DS48" s="72"/>
      <c r="DT48" s="36"/>
      <c r="DU48" s="72"/>
      <c r="DV48" s="37">
        <f t="shared" ref="DV48:DW48" si="71">CX48+CZ48+DB48+DD48+DF48+DH48+DJ48+DL48+DN48+DP48+DR48+DT48</f>
        <v>0</v>
      </c>
      <c r="DW48" s="38">
        <f t="shared" si="71"/>
        <v>0</v>
      </c>
    </row>
    <row r="49" spans="1:127" ht="15.75" customHeight="1">
      <c r="A49" s="73"/>
      <c r="B49" s="74"/>
      <c r="C49" s="75"/>
      <c r="D49" s="75"/>
      <c r="E49" s="75"/>
      <c r="F49" s="74"/>
      <c r="G49" s="129" t="s">
        <v>64</v>
      </c>
      <c r="H49" s="130"/>
      <c r="I49" s="130"/>
      <c r="J49" s="130"/>
      <c r="K49" s="130"/>
      <c r="L49" s="130"/>
      <c r="M49" s="131"/>
      <c r="N49" s="132" t="str">
        <f>L8</f>
        <v>CLM</v>
      </c>
      <c r="O49" s="133"/>
      <c r="P49" s="43">
        <f t="shared" ref="P49:AU49" si="72">COUNTIF(P9:P37,"CLM")</f>
        <v>0</v>
      </c>
      <c r="Q49" s="43">
        <f t="shared" si="72"/>
        <v>0</v>
      </c>
      <c r="R49" s="43">
        <f t="shared" si="72"/>
        <v>0</v>
      </c>
      <c r="S49" s="43">
        <f t="shared" si="72"/>
        <v>0</v>
      </c>
      <c r="T49" s="43">
        <f t="shared" si="72"/>
        <v>0</v>
      </c>
      <c r="U49" s="43">
        <f t="shared" si="72"/>
        <v>0</v>
      </c>
      <c r="V49" s="43">
        <f t="shared" si="72"/>
        <v>0</v>
      </c>
      <c r="W49" s="43">
        <f t="shared" si="72"/>
        <v>0</v>
      </c>
      <c r="X49" s="43">
        <f t="shared" si="72"/>
        <v>0</v>
      </c>
      <c r="Y49" s="43">
        <f t="shared" si="72"/>
        <v>0</v>
      </c>
      <c r="Z49" s="43">
        <f t="shared" si="72"/>
        <v>0</v>
      </c>
      <c r="AA49" s="43">
        <f t="shared" si="72"/>
        <v>0</v>
      </c>
      <c r="AB49" s="43">
        <f t="shared" si="72"/>
        <v>0</v>
      </c>
      <c r="AC49" s="43">
        <f t="shared" si="72"/>
        <v>0</v>
      </c>
      <c r="AD49" s="43">
        <f t="shared" si="72"/>
        <v>0</v>
      </c>
      <c r="AE49" s="43">
        <f t="shared" si="72"/>
        <v>0</v>
      </c>
      <c r="AF49" s="43">
        <f t="shared" si="72"/>
        <v>0</v>
      </c>
      <c r="AG49" s="43">
        <f t="shared" si="72"/>
        <v>0</v>
      </c>
      <c r="AH49" s="43">
        <f t="shared" si="72"/>
        <v>0</v>
      </c>
      <c r="AI49" s="43">
        <f t="shared" si="72"/>
        <v>0</v>
      </c>
      <c r="AJ49" s="43">
        <f t="shared" si="72"/>
        <v>0</v>
      </c>
      <c r="AK49" s="43">
        <f t="shared" si="72"/>
        <v>0</v>
      </c>
      <c r="AL49" s="43">
        <f t="shared" si="72"/>
        <v>0</v>
      </c>
      <c r="AM49" s="43">
        <f t="shared" si="72"/>
        <v>0</v>
      </c>
      <c r="AN49" s="43">
        <f t="shared" si="72"/>
        <v>0</v>
      </c>
      <c r="AO49" s="43">
        <f t="shared" si="72"/>
        <v>0</v>
      </c>
      <c r="AP49" s="43">
        <f t="shared" si="72"/>
        <v>0</v>
      </c>
      <c r="AQ49" s="43">
        <f t="shared" si="72"/>
        <v>0</v>
      </c>
      <c r="AR49" s="43">
        <f t="shared" si="72"/>
        <v>0</v>
      </c>
      <c r="AS49" s="43">
        <f t="shared" si="72"/>
        <v>0</v>
      </c>
      <c r="AT49" s="43">
        <f t="shared" si="72"/>
        <v>0</v>
      </c>
      <c r="AU49" s="43">
        <f t="shared" si="72"/>
        <v>0</v>
      </c>
      <c r="AV49" s="43">
        <f t="shared" ref="AV49:CA49" si="73">COUNTIF(AV9:AV37,"CLM")</f>
        <v>0</v>
      </c>
      <c r="AW49" s="43">
        <f t="shared" si="73"/>
        <v>0</v>
      </c>
      <c r="AX49" s="43">
        <f t="shared" si="73"/>
        <v>0</v>
      </c>
      <c r="AY49" s="43">
        <f t="shared" si="73"/>
        <v>0</v>
      </c>
      <c r="AZ49" s="43">
        <f t="shared" si="73"/>
        <v>0</v>
      </c>
      <c r="BA49" s="43">
        <f t="shared" si="73"/>
        <v>0</v>
      </c>
      <c r="BB49" s="43">
        <f t="shared" si="73"/>
        <v>0</v>
      </c>
      <c r="BC49" s="43">
        <f t="shared" si="73"/>
        <v>0</v>
      </c>
      <c r="BD49" s="43">
        <f t="shared" si="73"/>
        <v>0</v>
      </c>
      <c r="BE49" s="43">
        <f t="shared" si="73"/>
        <v>0</v>
      </c>
      <c r="BF49" s="43">
        <f t="shared" si="73"/>
        <v>0</v>
      </c>
      <c r="BG49" s="43">
        <f t="shared" si="73"/>
        <v>0</v>
      </c>
      <c r="BH49" s="43">
        <f t="shared" si="73"/>
        <v>0</v>
      </c>
      <c r="BI49" s="43">
        <f t="shared" si="73"/>
        <v>0</v>
      </c>
      <c r="BJ49" s="43">
        <f t="shared" si="73"/>
        <v>0</v>
      </c>
      <c r="BK49" s="43">
        <f t="shared" si="73"/>
        <v>0</v>
      </c>
      <c r="BL49" s="43">
        <f t="shared" si="73"/>
        <v>0</v>
      </c>
      <c r="BM49" s="43">
        <f t="shared" si="73"/>
        <v>0</v>
      </c>
      <c r="BN49" s="43">
        <f t="shared" si="73"/>
        <v>0</v>
      </c>
      <c r="BO49" s="43">
        <f t="shared" si="73"/>
        <v>0</v>
      </c>
      <c r="BP49" s="43">
        <f t="shared" si="73"/>
        <v>0</v>
      </c>
      <c r="BQ49" s="43">
        <f t="shared" si="73"/>
        <v>0</v>
      </c>
      <c r="BR49" s="43">
        <f t="shared" si="73"/>
        <v>0</v>
      </c>
      <c r="BS49" s="43">
        <f t="shared" si="73"/>
        <v>0</v>
      </c>
      <c r="BT49" s="43">
        <f t="shared" si="73"/>
        <v>0</v>
      </c>
      <c r="BU49" s="43">
        <f t="shared" si="73"/>
        <v>0</v>
      </c>
      <c r="BV49" s="43">
        <f t="shared" si="73"/>
        <v>0</v>
      </c>
      <c r="BW49" s="43">
        <f t="shared" si="73"/>
        <v>0</v>
      </c>
      <c r="BX49" s="43">
        <f t="shared" si="73"/>
        <v>0</v>
      </c>
      <c r="BY49" s="43">
        <f t="shared" si="73"/>
        <v>0</v>
      </c>
      <c r="BZ49" s="43">
        <f t="shared" si="73"/>
        <v>0</v>
      </c>
      <c r="CA49" s="43">
        <f t="shared" si="73"/>
        <v>0</v>
      </c>
      <c r="CB49" s="43">
        <f t="shared" ref="CB49:CW49" si="74">COUNTIF(CB9:CB37,"CLM")</f>
        <v>0</v>
      </c>
      <c r="CC49" s="43">
        <f t="shared" si="74"/>
        <v>0</v>
      </c>
      <c r="CD49" s="43">
        <f t="shared" si="74"/>
        <v>0</v>
      </c>
      <c r="CE49" s="43">
        <f t="shared" si="74"/>
        <v>0</v>
      </c>
      <c r="CF49" s="43">
        <f t="shared" si="74"/>
        <v>0</v>
      </c>
      <c r="CG49" s="43">
        <f t="shared" si="74"/>
        <v>0</v>
      </c>
      <c r="CH49" s="43">
        <f t="shared" si="74"/>
        <v>0</v>
      </c>
      <c r="CI49" s="43">
        <f t="shared" si="74"/>
        <v>0</v>
      </c>
      <c r="CJ49" s="43">
        <f t="shared" si="74"/>
        <v>0</v>
      </c>
      <c r="CK49" s="43">
        <f t="shared" si="74"/>
        <v>0</v>
      </c>
      <c r="CL49" s="43">
        <f t="shared" si="74"/>
        <v>0</v>
      </c>
      <c r="CM49" s="43">
        <f t="shared" si="74"/>
        <v>0</v>
      </c>
      <c r="CN49" s="43">
        <f t="shared" si="74"/>
        <v>0</v>
      </c>
      <c r="CO49" s="43">
        <f t="shared" si="74"/>
        <v>0</v>
      </c>
      <c r="CP49" s="43">
        <f t="shared" si="74"/>
        <v>0</v>
      </c>
      <c r="CQ49" s="43">
        <f t="shared" si="74"/>
        <v>0</v>
      </c>
      <c r="CR49" s="43">
        <f t="shared" si="74"/>
        <v>0</v>
      </c>
      <c r="CS49" s="43">
        <f t="shared" si="74"/>
        <v>0</v>
      </c>
      <c r="CT49" s="43">
        <f t="shared" si="74"/>
        <v>0</v>
      </c>
      <c r="CU49" s="43">
        <f t="shared" si="74"/>
        <v>0</v>
      </c>
      <c r="CV49" s="43">
        <f t="shared" si="74"/>
        <v>0</v>
      </c>
      <c r="CW49" s="43">
        <f t="shared" si="74"/>
        <v>0</v>
      </c>
      <c r="CX49" s="36"/>
      <c r="CY49" s="72"/>
      <c r="CZ49" s="36"/>
      <c r="DA49" s="72"/>
      <c r="DB49" s="36"/>
      <c r="DC49" s="72"/>
      <c r="DD49" s="36"/>
      <c r="DE49" s="72"/>
      <c r="DF49" s="36"/>
      <c r="DG49" s="72"/>
      <c r="DH49" s="36"/>
      <c r="DI49" s="72"/>
      <c r="DJ49" s="36"/>
      <c r="DK49" s="72"/>
      <c r="DL49" s="36"/>
      <c r="DM49" s="72"/>
      <c r="DN49" s="36"/>
      <c r="DO49" s="72"/>
      <c r="DP49" s="36"/>
      <c r="DQ49" s="72"/>
      <c r="DR49" s="36"/>
      <c r="DS49" s="72"/>
      <c r="DT49" s="36"/>
      <c r="DU49" s="72"/>
      <c r="DV49" s="37">
        <f t="shared" ref="DV49:DW49" si="75">CX49+CZ49+DB49+DD49+DF49+DH49+DJ49+DL49+DN49+DP49+DR49+DT49</f>
        <v>0</v>
      </c>
      <c r="DW49" s="38">
        <f t="shared" si="75"/>
        <v>0</v>
      </c>
    </row>
    <row r="50" spans="1:127" ht="15.75" customHeight="1">
      <c r="A50" s="73"/>
      <c r="B50" s="74"/>
      <c r="C50" s="75"/>
      <c r="D50" s="75"/>
      <c r="E50" s="75"/>
      <c r="F50" s="74"/>
      <c r="G50" s="134" t="s">
        <v>65</v>
      </c>
      <c r="H50" s="130"/>
      <c r="I50" s="130"/>
      <c r="J50" s="130"/>
      <c r="K50" s="130"/>
      <c r="L50" s="130"/>
      <c r="M50" s="131"/>
      <c r="N50" s="132" t="str">
        <f>M8</f>
        <v>SFF</v>
      </c>
      <c r="O50" s="133"/>
      <c r="P50" s="43">
        <f t="shared" ref="P50:AU50" si="76">COUNTIF(P9:P37,"SFF")</f>
        <v>0</v>
      </c>
      <c r="Q50" s="43">
        <f t="shared" si="76"/>
        <v>0</v>
      </c>
      <c r="R50" s="43">
        <f t="shared" si="76"/>
        <v>0</v>
      </c>
      <c r="S50" s="43">
        <f t="shared" si="76"/>
        <v>0</v>
      </c>
      <c r="T50" s="43">
        <f t="shared" si="76"/>
        <v>0</v>
      </c>
      <c r="U50" s="43">
        <f t="shared" si="76"/>
        <v>0</v>
      </c>
      <c r="V50" s="43">
        <f t="shared" si="76"/>
        <v>0</v>
      </c>
      <c r="W50" s="43">
        <f t="shared" si="76"/>
        <v>0</v>
      </c>
      <c r="X50" s="43">
        <f t="shared" si="76"/>
        <v>0</v>
      </c>
      <c r="Y50" s="43">
        <f t="shared" si="76"/>
        <v>0</v>
      </c>
      <c r="Z50" s="43">
        <f t="shared" si="76"/>
        <v>0</v>
      </c>
      <c r="AA50" s="43">
        <f t="shared" si="76"/>
        <v>0</v>
      </c>
      <c r="AB50" s="43">
        <f t="shared" si="76"/>
        <v>0</v>
      </c>
      <c r="AC50" s="43">
        <f t="shared" si="76"/>
        <v>0</v>
      </c>
      <c r="AD50" s="43">
        <f t="shared" si="76"/>
        <v>0</v>
      </c>
      <c r="AE50" s="43">
        <f t="shared" si="76"/>
        <v>0</v>
      </c>
      <c r="AF50" s="43">
        <f t="shared" si="76"/>
        <v>0</v>
      </c>
      <c r="AG50" s="43">
        <f t="shared" si="76"/>
        <v>0</v>
      </c>
      <c r="AH50" s="43">
        <f t="shared" si="76"/>
        <v>0</v>
      </c>
      <c r="AI50" s="43">
        <f t="shared" si="76"/>
        <v>0</v>
      </c>
      <c r="AJ50" s="43">
        <f t="shared" si="76"/>
        <v>0</v>
      </c>
      <c r="AK50" s="43">
        <f t="shared" si="76"/>
        <v>0</v>
      </c>
      <c r="AL50" s="43">
        <f t="shared" si="76"/>
        <v>0</v>
      </c>
      <c r="AM50" s="43">
        <f t="shared" si="76"/>
        <v>0</v>
      </c>
      <c r="AN50" s="43">
        <f t="shared" si="76"/>
        <v>0</v>
      </c>
      <c r="AO50" s="43">
        <f t="shared" si="76"/>
        <v>0</v>
      </c>
      <c r="AP50" s="43">
        <f t="shared" si="76"/>
        <v>0</v>
      </c>
      <c r="AQ50" s="43">
        <f t="shared" si="76"/>
        <v>0</v>
      </c>
      <c r="AR50" s="43">
        <f t="shared" si="76"/>
        <v>0</v>
      </c>
      <c r="AS50" s="43">
        <f t="shared" si="76"/>
        <v>0</v>
      </c>
      <c r="AT50" s="43">
        <f t="shared" si="76"/>
        <v>0</v>
      </c>
      <c r="AU50" s="43">
        <f t="shared" si="76"/>
        <v>0</v>
      </c>
      <c r="AV50" s="43">
        <f t="shared" ref="AV50:CA50" si="77">COUNTIF(AV9:AV37,"SFF")</f>
        <v>0</v>
      </c>
      <c r="AW50" s="43">
        <f t="shared" si="77"/>
        <v>0</v>
      </c>
      <c r="AX50" s="43">
        <f t="shared" si="77"/>
        <v>0</v>
      </c>
      <c r="AY50" s="43">
        <f t="shared" si="77"/>
        <v>0</v>
      </c>
      <c r="AZ50" s="43">
        <f t="shared" si="77"/>
        <v>0</v>
      </c>
      <c r="BA50" s="43">
        <f t="shared" si="77"/>
        <v>0</v>
      </c>
      <c r="BB50" s="43">
        <f t="shared" si="77"/>
        <v>0</v>
      </c>
      <c r="BC50" s="43">
        <f t="shared" si="77"/>
        <v>0</v>
      </c>
      <c r="BD50" s="43">
        <f t="shared" si="77"/>
        <v>0</v>
      </c>
      <c r="BE50" s="43">
        <f t="shared" si="77"/>
        <v>0</v>
      </c>
      <c r="BF50" s="43">
        <f t="shared" si="77"/>
        <v>0</v>
      </c>
      <c r="BG50" s="43">
        <f t="shared" si="77"/>
        <v>0</v>
      </c>
      <c r="BH50" s="43">
        <f t="shared" si="77"/>
        <v>0</v>
      </c>
      <c r="BI50" s="43">
        <f t="shared" si="77"/>
        <v>0</v>
      </c>
      <c r="BJ50" s="43">
        <f t="shared" si="77"/>
        <v>0</v>
      </c>
      <c r="BK50" s="43">
        <f t="shared" si="77"/>
        <v>0</v>
      </c>
      <c r="BL50" s="43">
        <f t="shared" si="77"/>
        <v>0</v>
      </c>
      <c r="BM50" s="43">
        <f t="shared" si="77"/>
        <v>0</v>
      </c>
      <c r="BN50" s="43">
        <f t="shared" si="77"/>
        <v>0</v>
      </c>
      <c r="BO50" s="43">
        <f t="shared" si="77"/>
        <v>0</v>
      </c>
      <c r="BP50" s="43">
        <f t="shared" si="77"/>
        <v>0</v>
      </c>
      <c r="BQ50" s="43">
        <f t="shared" si="77"/>
        <v>0</v>
      </c>
      <c r="BR50" s="43">
        <f t="shared" si="77"/>
        <v>0</v>
      </c>
      <c r="BS50" s="43">
        <f t="shared" si="77"/>
        <v>0</v>
      </c>
      <c r="BT50" s="43">
        <f t="shared" si="77"/>
        <v>0</v>
      </c>
      <c r="BU50" s="43">
        <f t="shared" si="77"/>
        <v>0</v>
      </c>
      <c r="BV50" s="43">
        <f t="shared" si="77"/>
        <v>0</v>
      </c>
      <c r="BW50" s="43">
        <f t="shared" si="77"/>
        <v>0</v>
      </c>
      <c r="BX50" s="43">
        <f t="shared" si="77"/>
        <v>0</v>
      </c>
      <c r="BY50" s="43">
        <f t="shared" si="77"/>
        <v>0</v>
      </c>
      <c r="BZ50" s="43">
        <f t="shared" si="77"/>
        <v>0</v>
      </c>
      <c r="CA50" s="43">
        <f t="shared" si="77"/>
        <v>0</v>
      </c>
      <c r="CB50" s="43">
        <f t="shared" ref="CB50:CW50" si="78">COUNTIF(CB9:CB37,"SFF")</f>
        <v>0</v>
      </c>
      <c r="CC50" s="43">
        <f t="shared" si="78"/>
        <v>0</v>
      </c>
      <c r="CD50" s="43">
        <f t="shared" si="78"/>
        <v>0</v>
      </c>
      <c r="CE50" s="43">
        <f t="shared" si="78"/>
        <v>0</v>
      </c>
      <c r="CF50" s="43">
        <f t="shared" si="78"/>
        <v>0</v>
      </c>
      <c r="CG50" s="43">
        <f t="shared" si="78"/>
        <v>0</v>
      </c>
      <c r="CH50" s="43">
        <f t="shared" si="78"/>
        <v>0</v>
      </c>
      <c r="CI50" s="43">
        <f t="shared" si="78"/>
        <v>0</v>
      </c>
      <c r="CJ50" s="43">
        <f t="shared" si="78"/>
        <v>0</v>
      </c>
      <c r="CK50" s="43">
        <f t="shared" si="78"/>
        <v>0</v>
      </c>
      <c r="CL50" s="43">
        <f t="shared" si="78"/>
        <v>0</v>
      </c>
      <c r="CM50" s="43">
        <f t="shared" si="78"/>
        <v>0</v>
      </c>
      <c r="CN50" s="43">
        <f t="shared" si="78"/>
        <v>0</v>
      </c>
      <c r="CO50" s="43">
        <f t="shared" si="78"/>
        <v>0</v>
      </c>
      <c r="CP50" s="43">
        <f t="shared" si="78"/>
        <v>0</v>
      </c>
      <c r="CQ50" s="43">
        <f t="shared" si="78"/>
        <v>0</v>
      </c>
      <c r="CR50" s="43">
        <f t="shared" si="78"/>
        <v>0</v>
      </c>
      <c r="CS50" s="43">
        <f t="shared" si="78"/>
        <v>0</v>
      </c>
      <c r="CT50" s="43">
        <f t="shared" si="78"/>
        <v>0</v>
      </c>
      <c r="CU50" s="43">
        <f t="shared" si="78"/>
        <v>0</v>
      </c>
      <c r="CV50" s="43">
        <f t="shared" si="78"/>
        <v>0</v>
      </c>
      <c r="CW50" s="43">
        <f t="shared" si="78"/>
        <v>0</v>
      </c>
      <c r="CX50" s="36"/>
      <c r="CY50" s="72"/>
      <c r="CZ50" s="36"/>
      <c r="DA50" s="72"/>
      <c r="DB50" s="36"/>
      <c r="DC50" s="72"/>
      <c r="DD50" s="36"/>
      <c r="DE50" s="72"/>
      <c r="DF50" s="36"/>
      <c r="DG50" s="72"/>
      <c r="DH50" s="36"/>
      <c r="DI50" s="72"/>
      <c r="DJ50" s="36"/>
      <c r="DK50" s="72"/>
      <c r="DL50" s="36"/>
      <c r="DM50" s="72"/>
      <c r="DN50" s="36"/>
      <c r="DO50" s="72"/>
      <c r="DP50" s="36"/>
      <c r="DQ50" s="72"/>
      <c r="DR50" s="36"/>
      <c r="DS50" s="72"/>
      <c r="DT50" s="36"/>
      <c r="DU50" s="72"/>
      <c r="DV50" s="37">
        <f t="shared" ref="DV50:DW50" si="79">CX50+CZ50+DB50+DD50+DF50+DH50+DJ50+DL50+DN50+DP50+DR50+DT50</f>
        <v>0</v>
      </c>
      <c r="DW50" s="38">
        <f t="shared" si="79"/>
        <v>0</v>
      </c>
    </row>
    <row r="51" spans="1:127" ht="15.75" customHeight="1">
      <c r="A51" s="73"/>
      <c r="B51" s="74"/>
      <c r="C51" s="75"/>
      <c r="D51" s="75"/>
      <c r="E51" s="75"/>
      <c r="F51" s="74"/>
      <c r="G51" s="135" t="s">
        <v>66</v>
      </c>
      <c r="H51" s="130"/>
      <c r="I51" s="130"/>
      <c r="J51" s="130"/>
      <c r="K51" s="130"/>
      <c r="L51" s="130"/>
      <c r="M51" s="131"/>
      <c r="N51" s="132" t="str">
        <f>N8</f>
        <v>RET</v>
      </c>
      <c r="O51" s="133"/>
      <c r="P51" s="43">
        <f t="shared" ref="P51:AU51" si="80">COUNTIF(P9:P37,"RET")</f>
        <v>0</v>
      </c>
      <c r="Q51" s="43">
        <f t="shared" si="80"/>
        <v>0</v>
      </c>
      <c r="R51" s="43">
        <f t="shared" si="80"/>
        <v>0</v>
      </c>
      <c r="S51" s="43">
        <f t="shared" si="80"/>
        <v>0</v>
      </c>
      <c r="T51" s="43">
        <f t="shared" si="80"/>
        <v>0</v>
      </c>
      <c r="U51" s="43">
        <f t="shared" si="80"/>
        <v>0</v>
      </c>
      <c r="V51" s="43">
        <f t="shared" si="80"/>
        <v>0</v>
      </c>
      <c r="W51" s="43">
        <f t="shared" si="80"/>
        <v>0</v>
      </c>
      <c r="X51" s="43">
        <f t="shared" si="80"/>
        <v>0</v>
      </c>
      <c r="Y51" s="43">
        <f t="shared" si="80"/>
        <v>0</v>
      </c>
      <c r="Z51" s="43">
        <f t="shared" si="80"/>
        <v>0</v>
      </c>
      <c r="AA51" s="43">
        <f t="shared" si="80"/>
        <v>0</v>
      </c>
      <c r="AB51" s="43">
        <f t="shared" si="80"/>
        <v>0</v>
      </c>
      <c r="AC51" s="43">
        <f t="shared" si="80"/>
        <v>0</v>
      </c>
      <c r="AD51" s="43">
        <f t="shared" si="80"/>
        <v>0</v>
      </c>
      <c r="AE51" s="43">
        <f t="shared" si="80"/>
        <v>0</v>
      </c>
      <c r="AF51" s="43">
        <f t="shared" si="80"/>
        <v>0</v>
      </c>
      <c r="AG51" s="43">
        <f t="shared" si="80"/>
        <v>0</v>
      </c>
      <c r="AH51" s="43">
        <f t="shared" si="80"/>
        <v>0</v>
      </c>
      <c r="AI51" s="43">
        <f t="shared" si="80"/>
        <v>0</v>
      </c>
      <c r="AJ51" s="43">
        <f t="shared" si="80"/>
        <v>0</v>
      </c>
      <c r="AK51" s="43">
        <f t="shared" si="80"/>
        <v>0</v>
      </c>
      <c r="AL51" s="43">
        <f t="shared" si="80"/>
        <v>0</v>
      </c>
      <c r="AM51" s="43">
        <f t="shared" si="80"/>
        <v>0</v>
      </c>
      <c r="AN51" s="43">
        <f t="shared" si="80"/>
        <v>0</v>
      </c>
      <c r="AO51" s="43">
        <f t="shared" si="80"/>
        <v>0</v>
      </c>
      <c r="AP51" s="43">
        <f t="shared" si="80"/>
        <v>0</v>
      </c>
      <c r="AQ51" s="43">
        <f t="shared" si="80"/>
        <v>0</v>
      </c>
      <c r="AR51" s="43">
        <f t="shared" si="80"/>
        <v>0</v>
      </c>
      <c r="AS51" s="43">
        <f t="shared" si="80"/>
        <v>0</v>
      </c>
      <c r="AT51" s="43">
        <f t="shared" si="80"/>
        <v>0</v>
      </c>
      <c r="AU51" s="43">
        <f t="shared" si="80"/>
        <v>0</v>
      </c>
      <c r="AV51" s="43">
        <f t="shared" ref="AV51:CA51" si="81">COUNTIF(AV9:AV37,"RET")</f>
        <v>0</v>
      </c>
      <c r="AW51" s="43">
        <f t="shared" si="81"/>
        <v>0</v>
      </c>
      <c r="AX51" s="43">
        <f t="shared" si="81"/>
        <v>0</v>
      </c>
      <c r="AY51" s="43">
        <f t="shared" si="81"/>
        <v>0</v>
      </c>
      <c r="AZ51" s="43">
        <f t="shared" si="81"/>
        <v>0</v>
      </c>
      <c r="BA51" s="43">
        <f t="shared" si="81"/>
        <v>0</v>
      </c>
      <c r="BB51" s="43">
        <f t="shared" si="81"/>
        <v>0</v>
      </c>
      <c r="BC51" s="43">
        <f t="shared" si="81"/>
        <v>0</v>
      </c>
      <c r="BD51" s="43">
        <f t="shared" si="81"/>
        <v>0</v>
      </c>
      <c r="BE51" s="43">
        <f t="shared" si="81"/>
        <v>0</v>
      </c>
      <c r="BF51" s="43">
        <f t="shared" si="81"/>
        <v>0</v>
      </c>
      <c r="BG51" s="43">
        <f t="shared" si="81"/>
        <v>0</v>
      </c>
      <c r="BH51" s="43">
        <f t="shared" si="81"/>
        <v>0</v>
      </c>
      <c r="BI51" s="43">
        <f t="shared" si="81"/>
        <v>0</v>
      </c>
      <c r="BJ51" s="43">
        <f t="shared" si="81"/>
        <v>0</v>
      </c>
      <c r="BK51" s="43">
        <f t="shared" si="81"/>
        <v>0</v>
      </c>
      <c r="BL51" s="43">
        <f t="shared" si="81"/>
        <v>0</v>
      </c>
      <c r="BM51" s="43">
        <f t="shared" si="81"/>
        <v>0</v>
      </c>
      <c r="BN51" s="43">
        <f t="shared" si="81"/>
        <v>0</v>
      </c>
      <c r="BO51" s="43">
        <f t="shared" si="81"/>
        <v>0</v>
      </c>
      <c r="BP51" s="43">
        <f t="shared" si="81"/>
        <v>0</v>
      </c>
      <c r="BQ51" s="43">
        <f t="shared" si="81"/>
        <v>0</v>
      </c>
      <c r="BR51" s="43">
        <f t="shared" si="81"/>
        <v>0</v>
      </c>
      <c r="BS51" s="43">
        <f t="shared" si="81"/>
        <v>0</v>
      </c>
      <c r="BT51" s="43">
        <f t="shared" si="81"/>
        <v>0</v>
      </c>
      <c r="BU51" s="43">
        <f t="shared" si="81"/>
        <v>0</v>
      </c>
      <c r="BV51" s="43">
        <f t="shared" si="81"/>
        <v>0</v>
      </c>
      <c r="BW51" s="43">
        <f t="shared" si="81"/>
        <v>0</v>
      </c>
      <c r="BX51" s="43">
        <f t="shared" si="81"/>
        <v>0</v>
      </c>
      <c r="BY51" s="43">
        <f t="shared" si="81"/>
        <v>0</v>
      </c>
      <c r="BZ51" s="43">
        <f t="shared" si="81"/>
        <v>0</v>
      </c>
      <c r="CA51" s="43">
        <f t="shared" si="81"/>
        <v>0</v>
      </c>
      <c r="CB51" s="43">
        <f t="shared" ref="CB51:CW51" si="82">COUNTIF(CB9:CB37,"RET")</f>
        <v>0</v>
      </c>
      <c r="CC51" s="43">
        <f t="shared" si="82"/>
        <v>0</v>
      </c>
      <c r="CD51" s="43">
        <f t="shared" si="82"/>
        <v>0</v>
      </c>
      <c r="CE51" s="43">
        <f t="shared" si="82"/>
        <v>0</v>
      </c>
      <c r="CF51" s="43">
        <f t="shared" si="82"/>
        <v>0</v>
      </c>
      <c r="CG51" s="43">
        <f t="shared" si="82"/>
        <v>0</v>
      </c>
      <c r="CH51" s="43">
        <f t="shared" si="82"/>
        <v>0</v>
      </c>
      <c r="CI51" s="43">
        <f t="shared" si="82"/>
        <v>0</v>
      </c>
      <c r="CJ51" s="43">
        <f t="shared" si="82"/>
        <v>0</v>
      </c>
      <c r="CK51" s="43">
        <f t="shared" si="82"/>
        <v>0</v>
      </c>
      <c r="CL51" s="43">
        <f t="shared" si="82"/>
        <v>0</v>
      </c>
      <c r="CM51" s="43">
        <f t="shared" si="82"/>
        <v>0</v>
      </c>
      <c r="CN51" s="43">
        <f t="shared" si="82"/>
        <v>0</v>
      </c>
      <c r="CO51" s="43">
        <f t="shared" si="82"/>
        <v>0</v>
      </c>
      <c r="CP51" s="43">
        <f t="shared" si="82"/>
        <v>0</v>
      </c>
      <c r="CQ51" s="43">
        <f t="shared" si="82"/>
        <v>0</v>
      </c>
      <c r="CR51" s="43">
        <f t="shared" si="82"/>
        <v>0</v>
      </c>
      <c r="CS51" s="43">
        <f t="shared" si="82"/>
        <v>0</v>
      </c>
      <c r="CT51" s="43">
        <f t="shared" si="82"/>
        <v>0</v>
      </c>
      <c r="CU51" s="43">
        <f t="shared" si="82"/>
        <v>0</v>
      </c>
      <c r="CV51" s="43">
        <f t="shared" si="82"/>
        <v>0</v>
      </c>
      <c r="CW51" s="43">
        <f t="shared" si="82"/>
        <v>0</v>
      </c>
      <c r="CX51" s="36"/>
      <c r="CY51" s="72"/>
      <c r="CZ51" s="36"/>
      <c r="DA51" s="72"/>
      <c r="DB51" s="36"/>
      <c r="DC51" s="72"/>
      <c r="DD51" s="36"/>
      <c r="DE51" s="72"/>
      <c r="DF51" s="36"/>
      <c r="DG51" s="72"/>
      <c r="DH51" s="36"/>
      <c r="DI51" s="72"/>
      <c r="DJ51" s="36"/>
      <c r="DK51" s="72"/>
      <c r="DL51" s="36"/>
      <c r="DM51" s="72"/>
      <c r="DN51" s="36"/>
      <c r="DO51" s="72"/>
      <c r="DP51" s="36"/>
      <c r="DQ51" s="72"/>
      <c r="DR51" s="36"/>
      <c r="DS51" s="72"/>
      <c r="DT51" s="36"/>
      <c r="DU51" s="72"/>
      <c r="DV51" s="37">
        <f t="shared" ref="DV51:DW51" si="83">CX51+CZ51+DB51+DD51+DF51+DH51+DJ51+DL51+DN51+DP51+DR51+DT51</f>
        <v>0</v>
      </c>
      <c r="DW51" s="38">
        <f t="shared" si="83"/>
        <v>0</v>
      </c>
    </row>
    <row r="52" spans="1:127" ht="15.75" customHeight="1">
      <c r="A52" s="73"/>
      <c r="B52" s="74"/>
      <c r="C52" s="75"/>
      <c r="D52" s="75"/>
      <c r="E52" s="75"/>
      <c r="F52" s="74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5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5"/>
      <c r="DN52" s="75"/>
      <c r="DO52" s="75"/>
      <c r="DP52" s="75"/>
      <c r="DQ52" s="75"/>
      <c r="DR52" s="75"/>
      <c r="DS52" s="75"/>
      <c r="DT52" s="75"/>
      <c r="DU52" s="75"/>
      <c r="DV52" s="75"/>
      <c r="DW52" s="75"/>
    </row>
    <row r="53" spans="1:127" ht="15.75" customHeight="1">
      <c r="A53" s="73"/>
      <c r="B53" s="74"/>
      <c r="C53" s="75"/>
      <c r="D53" s="75"/>
      <c r="E53" s="75"/>
      <c r="F53" s="74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</row>
    <row r="54" spans="1:127" ht="15.75" customHeight="1">
      <c r="A54" s="73"/>
      <c r="B54" s="74"/>
      <c r="C54" s="75"/>
      <c r="D54" s="75"/>
      <c r="E54" s="75"/>
      <c r="F54" s="74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</row>
    <row r="55" spans="1:127" ht="15.75" customHeight="1">
      <c r="A55" s="73"/>
      <c r="B55" s="74"/>
      <c r="C55" s="76"/>
      <c r="D55" s="75"/>
      <c r="E55" s="75"/>
      <c r="F55" s="7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1:127" ht="15.75" customHeight="1">
      <c r="A56" s="73"/>
      <c r="B56" s="74"/>
      <c r="C56" s="75"/>
      <c r="D56" s="75"/>
      <c r="E56" s="75"/>
      <c r="F56" s="7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1:127" ht="15.75" customHeight="1">
      <c r="A57" s="45"/>
      <c r="B57" s="44"/>
      <c r="C57" s="1"/>
      <c r="D57" s="1"/>
      <c r="E57" s="1"/>
      <c r="F57" s="4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1:127" ht="15.75" customHeight="1">
      <c r="A58" s="45"/>
      <c r="B58" s="44"/>
      <c r="C58" s="1"/>
      <c r="D58" s="1"/>
      <c r="E58" s="1"/>
      <c r="F58" s="4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1:127" ht="15.75" customHeight="1">
      <c r="A59" s="45"/>
      <c r="B59" s="44"/>
      <c r="C59" s="1"/>
      <c r="D59" s="1"/>
      <c r="E59" s="1"/>
      <c r="F59" s="4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1:127" ht="15.75" customHeight="1">
      <c r="A60" s="45"/>
      <c r="B60" s="44"/>
      <c r="C60" s="1"/>
      <c r="D60" s="1"/>
      <c r="E60" s="1"/>
      <c r="F60" s="4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1:127" ht="15.75" customHeight="1">
      <c r="A61" s="45"/>
      <c r="B61" s="44"/>
      <c r="C61" s="1"/>
      <c r="D61" s="1"/>
      <c r="E61" s="1"/>
      <c r="F61" s="4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1:127" ht="15.75" customHeight="1">
      <c r="A62" s="45"/>
      <c r="B62" s="44"/>
      <c r="C62" s="1"/>
      <c r="D62" s="1"/>
      <c r="E62" s="1"/>
      <c r="F62" s="4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  <row r="63" spans="1:127" ht="15.75" customHeight="1">
      <c r="A63" s="45"/>
      <c r="B63" s="44"/>
      <c r="C63" s="1"/>
      <c r="D63" s="1"/>
      <c r="E63" s="1"/>
      <c r="F63" s="4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</row>
    <row r="64" spans="1:127" ht="15.75" customHeight="1">
      <c r="A64" s="45"/>
      <c r="B64" s="44"/>
      <c r="C64" s="1"/>
      <c r="D64" s="1"/>
      <c r="E64" s="1"/>
      <c r="F64" s="4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</row>
    <row r="65" spans="1:127" ht="15.75" customHeight="1">
      <c r="A65" s="45"/>
      <c r="B65" s="44"/>
      <c r="C65" s="1"/>
      <c r="D65" s="1"/>
      <c r="E65" s="1"/>
      <c r="F65" s="4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</row>
    <row r="66" spans="1:127" ht="15.75" customHeight="1">
      <c r="A66" s="45"/>
      <c r="B66" s="44"/>
      <c r="C66" s="1"/>
      <c r="D66" s="1"/>
      <c r="E66" s="1"/>
      <c r="F66" s="4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</row>
    <row r="67" spans="1:127" ht="15.75" customHeight="1">
      <c r="A67" s="45"/>
      <c r="B67" s="44"/>
      <c r="C67" s="1"/>
      <c r="D67" s="1"/>
      <c r="E67" s="1"/>
      <c r="F67" s="4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</row>
    <row r="68" spans="1:127" ht="15.75" customHeight="1">
      <c r="A68" s="45"/>
      <c r="B68" s="44"/>
      <c r="C68" s="1"/>
      <c r="D68" s="1"/>
      <c r="E68" s="1"/>
      <c r="F68" s="4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</row>
    <row r="69" spans="1:127" ht="15.75" customHeight="1">
      <c r="A69" s="45"/>
      <c r="B69" s="44"/>
      <c r="C69" s="1"/>
      <c r="D69" s="1"/>
      <c r="E69" s="1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</row>
    <row r="70" spans="1:127" ht="15.75" customHeight="1">
      <c r="A70" s="45"/>
      <c r="B70" s="44"/>
      <c r="C70" s="1"/>
      <c r="D70" s="1"/>
      <c r="E70" s="1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</row>
    <row r="71" spans="1:127" ht="15.75" customHeight="1">
      <c r="A71" s="45"/>
      <c r="B71" s="44"/>
      <c r="C71" s="1"/>
      <c r="D71" s="1"/>
      <c r="E71" s="1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</row>
    <row r="72" spans="1:127" ht="15.75" customHeight="1">
      <c r="A72" s="45"/>
      <c r="B72" s="44"/>
      <c r="C72" s="1"/>
      <c r="D72" s="1"/>
      <c r="E72" s="1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</row>
    <row r="73" spans="1:127" ht="15.75" customHeight="1">
      <c r="A73" s="45"/>
      <c r="B73" s="44"/>
      <c r="C73" s="1"/>
      <c r="D73" s="1"/>
      <c r="E73" s="1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</row>
    <row r="74" spans="1:127" ht="15.75" customHeight="1">
      <c r="A74" s="45"/>
      <c r="B74" s="44"/>
      <c r="C74" s="1"/>
      <c r="D74" s="1"/>
      <c r="E74" s="1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</row>
    <row r="75" spans="1:127" ht="15.75" customHeight="1">
      <c r="A75" s="45"/>
      <c r="B75" s="44"/>
      <c r="C75" s="1"/>
      <c r="D75" s="1"/>
      <c r="E75" s="1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</row>
    <row r="76" spans="1:127" ht="15.75" customHeight="1">
      <c r="A76" s="45"/>
      <c r="B76" s="44"/>
      <c r="C76" s="1"/>
      <c r="D76" s="1"/>
      <c r="E76" s="1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</row>
    <row r="77" spans="1:127" ht="15.75" customHeight="1">
      <c r="A77" s="45"/>
      <c r="B77" s="44"/>
      <c r="C77" s="1"/>
      <c r="D77" s="1"/>
      <c r="E77" s="1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</row>
    <row r="78" spans="1:127" ht="15.75" customHeight="1">
      <c r="A78" s="45"/>
      <c r="B78" s="44"/>
      <c r="C78" s="1"/>
      <c r="D78" s="1"/>
      <c r="E78" s="1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</row>
    <row r="79" spans="1:127" ht="15.75" customHeight="1">
      <c r="A79" s="45"/>
      <c r="B79" s="44"/>
      <c r="C79" s="1"/>
      <c r="D79" s="1"/>
      <c r="E79" s="1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</row>
    <row r="80" spans="1:127" ht="15.75" customHeight="1">
      <c r="A80" s="45"/>
      <c r="B80" s="44"/>
      <c r="C80" s="1"/>
      <c r="D80" s="1"/>
      <c r="E80" s="1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</row>
    <row r="81" spans="1:127" ht="15.75" customHeight="1">
      <c r="A81" s="45"/>
      <c r="B81" s="44"/>
      <c r="C81" s="1"/>
      <c r="D81" s="1"/>
      <c r="E81" s="1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</row>
    <row r="82" spans="1:127" ht="15.75" customHeight="1">
      <c r="A82" s="45"/>
      <c r="B82" s="44"/>
      <c r="C82" s="1"/>
      <c r="D82" s="1"/>
      <c r="E82" s="1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</row>
    <row r="83" spans="1:127" ht="15.75" customHeight="1">
      <c r="A83" s="45"/>
      <c r="B83" s="44"/>
      <c r="C83" s="1"/>
      <c r="D83" s="1"/>
      <c r="E83" s="1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</row>
    <row r="84" spans="1:127" ht="15.75" customHeight="1">
      <c r="A84" s="45"/>
      <c r="B84" s="44"/>
      <c r="C84" s="1"/>
      <c r="D84" s="1"/>
      <c r="E84" s="1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</row>
    <row r="85" spans="1:127" ht="15.75" customHeight="1">
      <c r="A85" s="45"/>
      <c r="B85" s="44"/>
      <c r="C85" s="1"/>
      <c r="D85" s="1"/>
      <c r="E85" s="1"/>
      <c r="F85" s="4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</row>
    <row r="86" spans="1:127" ht="15.75" customHeight="1">
      <c r="A86" s="45"/>
      <c r="B86" s="44"/>
      <c r="C86" s="1"/>
      <c r="D86" s="1"/>
      <c r="E86" s="1"/>
      <c r="F86" s="4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</row>
    <row r="87" spans="1:127" ht="15.75" customHeight="1">
      <c r="A87" s="45"/>
      <c r="B87" s="44"/>
      <c r="C87" s="1"/>
      <c r="D87" s="1"/>
      <c r="E87" s="1"/>
      <c r="F87" s="4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</row>
    <row r="88" spans="1:127" ht="15.75" customHeight="1">
      <c r="A88" s="45"/>
      <c r="B88" s="44"/>
      <c r="C88" s="1"/>
      <c r="D88" s="1"/>
      <c r="E88" s="1"/>
      <c r="F88" s="4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</row>
    <row r="89" spans="1:127" ht="15.75" customHeight="1">
      <c r="A89" s="45"/>
      <c r="B89" s="44"/>
      <c r="C89" s="1"/>
      <c r="D89" s="1"/>
      <c r="E89" s="1"/>
      <c r="F89" s="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</row>
    <row r="90" spans="1:127" ht="15.75" customHeight="1">
      <c r="A90" s="45"/>
      <c r="B90" s="44"/>
      <c r="C90" s="1"/>
      <c r="D90" s="1"/>
      <c r="E90" s="1"/>
      <c r="F90" s="4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</row>
    <row r="91" spans="1:127" ht="15.75" customHeight="1">
      <c r="A91" s="45"/>
      <c r="B91" s="44"/>
      <c r="C91" s="1"/>
      <c r="D91" s="1"/>
      <c r="E91" s="1"/>
      <c r="F91" s="4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</row>
    <row r="92" spans="1:127" ht="15.75" customHeight="1">
      <c r="A92" s="45"/>
      <c r="B92" s="44"/>
      <c r="C92" s="1"/>
      <c r="D92" s="1"/>
      <c r="E92" s="1"/>
      <c r="F92" s="4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</row>
    <row r="93" spans="1:127" ht="15.75" customHeight="1">
      <c r="A93" s="45"/>
      <c r="B93" s="44"/>
      <c r="C93" s="1"/>
      <c r="D93" s="1"/>
      <c r="E93" s="1"/>
      <c r="F93" s="4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</row>
    <row r="94" spans="1:127" ht="15.75" customHeight="1">
      <c r="A94" s="45"/>
      <c r="B94" s="44"/>
      <c r="C94" s="1"/>
      <c r="D94" s="1"/>
      <c r="E94" s="1"/>
      <c r="F94" s="4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</row>
    <row r="95" spans="1:127" ht="15.75" customHeight="1">
      <c r="A95" s="45"/>
      <c r="B95" s="44"/>
      <c r="C95" s="1"/>
      <c r="D95" s="1"/>
      <c r="E95" s="1"/>
      <c r="F95" s="4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</row>
    <row r="96" spans="1:127" ht="15.75" customHeight="1">
      <c r="A96" s="45"/>
      <c r="B96" s="44"/>
      <c r="C96" s="1"/>
      <c r="D96" s="1"/>
      <c r="E96" s="1"/>
      <c r="F96" s="4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</row>
    <row r="97" spans="1:127" ht="15.75" customHeight="1">
      <c r="A97" s="45"/>
      <c r="B97" s="44"/>
      <c r="C97" s="1"/>
      <c r="D97" s="1"/>
      <c r="E97" s="1"/>
      <c r="F97" s="4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</row>
    <row r="98" spans="1:127" ht="15.75" customHeight="1">
      <c r="A98" s="45"/>
      <c r="B98" s="44"/>
      <c r="C98" s="1"/>
      <c r="D98" s="1"/>
      <c r="E98" s="1"/>
      <c r="F98" s="4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</row>
    <row r="99" spans="1:127" ht="15.75" customHeight="1">
      <c r="A99" s="45"/>
      <c r="B99" s="44"/>
      <c r="C99" s="1"/>
      <c r="D99" s="1"/>
      <c r="E99" s="1"/>
      <c r="F99" s="4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</row>
    <row r="100" spans="1:127" ht="15.75" customHeight="1">
      <c r="A100" s="45"/>
      <c r="B100" s="44"/>
      <c r="C100" s="1"/>
      <c r="D100" s="1"/>
      <c r="E100" s="1"/>
      <c r="F100" s="4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</row>
    <row r="101" spans="1:127" ht="15.75" customHeight="1">
      <c r="A101" s="45"/>
      <c r="B101" s="44"/>
      <c r="C101" s="1"/>
      <c r="D101" s="1"/>
      <c r="E101" s="1"/>
      <c r="F101" s="4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</row>
    <row r="102" spans="1:127" ht="15.75" customHeight="1">
      <c r="A102" s="45"/>
      <c r="B102" s="44"/>
      <c r="C102" s="1"/>
      <c r="D102" s="1"/>
      <c r="E102" s="1"/>
      <c r="F102" s="4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</row>
    <row r="103" spans="1:127" ht="15.75" customHeight="1">
      <c r="A103" s="45"/>
      <c r="B103" s="44"/>
      <c r="C103" s="1"/>
      <c r="D103" s="1"/>
      <c r="E103" s="1"/>
      <c r="F103" s="4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</row>
    <row r="104" spans="1:127" ht="15.75" customHeight="1">
      <c r="A104" s="45"/>
      <c r="B104" s="44"/>
      <c r="C104" s="1"/>
      <c r="D104" s="1"/>
      <c r="E104" s="1"/>
      <c r="F104" s="4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</row>
    <row r="105" spans="1:127" ht="15.75" customHeight="1">
      <c r="A105" s="45"/>
      <c r="B105" s="44"/>
      <c r="C105" s="1"/>
      <c r="D105" s="1"/>
      <c r="E105" s="1"/>
      <c r="F105" s="4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</row>
    <row r="106" spans="1:127" ht="15.75" customHeight="1">
      <c r="A106" s="45"/>
      <c r="B106" s="44"/>
      <c r="C106" s="1"/>
      <c r="D106" s="1"/>
      <c r="E106" s="1"/>
      <c r="F106" s="4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</row>
    <row r="107" spans="1:127" ht="15.75" customHeight="1">
      <c r="A107" s="45"/>
      <c r="B107" s="44"/>
      <c r="C107" s="1"/>
      <c r="D107" s="1"/>
      <c r="E107" s="1"/>
      <c r="F107" s="4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</row>
    <row r="108" spans="1:127" ht="15.75" customHeight="1">
      <c r="A108" s="45"/>
      <c r="B108" s="44"/>
      <c r="C108" s="1"/>
      <c r="D108" s="1"/>
      <c r="E108" s="1"/>
      <c r="F108" s="4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</row>
    <row r="109" spans="1:127" ht="15.75" customHeight="1">
      <c r="A109" s="45"/>
      <c r="B109" s="44"/>
      <c r="C109" s="1"/>
      <c r="D109" s="1"/>
      <c r="E109" s="1"/>
      <c r="F109" s="4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</row>
    <row r="110" spans="1:127" ht="15.75" customHeight="1">
      <c r="A110" s="45"/>
      <c r="B110" s="44"/>
      <c r="C110" s="1"/>
      <c r="D110" s="1"/>
      <c r="E110" s="1"/>
      <c r="F110" s="4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</row>
    <row r="111" spans="1:127" ht="15.75" customHeight="1">
      <c r="A111" s="45"/>
      <c r="B111" s="44"/>
      <c r="C111" s="1"/>
      <c r="D111" s="1"/>
      <c r="E111" s="1"/>
      <c r="F111" s="4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</row>
    <row r="112" spans="1:127" ht="15.75" customHeight="1">
      <c r="A112" s="45"/>
      <c r="B112" s="44"/>
      <c r="C112" s="1"/>
      <c r="D112" s="1"/>
      <c r="E112" s="1"/>
      <c r="F112" s="4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</row>
    <row r="113" spans="1:127" ht="15.75" customHeight="1">
      <c r="A113" s="45"/>
      <c r="B113" s="44"/>
      <c r="C113" s="1"/>
      <c r="D113" s="1"/>
      <c r="E113" s="1"/>
      <c r="F113" s="4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</row>
    <row r="114" spans="1:127" ht="15.75" customHeight="1">
      <c r="A114" s="45"/>
      <c r="B114" s="44"/>
      <c r="C114" s="1"/>
      <c r="D114" s="1"/>
      <c r="E114" s="1"/>
      <c r="F114" s="4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</row>
    <row r="115" spans="1:127" ht="15.75" customHeight="1">
      <c r="A115" s="45"/>
      <c r="B115" s="44"/>
      <c r="C115" s="1"/>
      <c r="D115" s="1"/>
      <c r="E115" s="1"/>
      <c r="F115" s="4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</row>
    <row r="116" spans="1:127" ht="15.75" customHeight="1">
      <c r="A116" s="45"/>
      <c r="B116" s="44"/>
      <c r="C116" s="1"/>
      <c r="D116" s="1"/>
      <c r="E116" s="1"/>
      <c r="F116" s="4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</row>
    <row r="117" spans="1:127" ht="15.75" customHeight="1">
      <c r="A117" s="45"/>
      <c r="B117" s="44"/>
      <c r="C117" s="1"/>
      <c r="D117" s="1"/>
      <c r="E117" s="1"/>
      <c r="F117" s="4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</row>
    <row r="118" spans="1:127" ht="15.75" customHeight="1">
      <c r="A118" s="45"/>
      <c r="B118" s="44"/>
      <c r="C118" s="1"/>
      <c r="D118" s="1"/>
      <c r="E118" s="1"/>
      <c r="F118" s="4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</row>
    <row r="119" spans="1:127" ht="15.75" customHeight="1">
      <c r="A119" s="45"/>
      <c r="B119" s="44"/>
      <c r="C119" s="1"/>
      <c r="D119" s="1"/>
      <c r="E119" s="1"/>
      <c r="F119" s="4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</row>
    <row r="120" spans="1:127" ht="15.75" customHeight="1">
      <c r="A120" s="45"/>
      <c r="B120" s="44"/>
      <c r="C120" s="1"/>
      <c r="D120" s="1"/>
      <c r="E120" s="1"/>
      <c r="F120" s="4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</row>
    <row r="121" spans="1:127" ht="15.75" customHeight="1">
      <c r="A121" s="45"/>
      <c r="B121" s="44"/>
      <c r="C121" s="1"/>
      <c r="D121" s="1"/>
      <c r="E121" s="1"/>
      <c r="F121" s="4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</row>
    <row r="122" spans="1:127" ht="15.75" customHeight="1">
      <c r="A122" s="45"/>
      <c r="B122" s="44"/>
      <c r="C122" s="1"/>
      <c r="D122" s="1"/>
      <c r="E122" s="1"/>
      <c r="F122" s="4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</row>
    <row r="123" spans="1:127" ht="15.75" customHeight="1">
      <c r="A123" s="45"/>
      <c r="B123" s="44"/>
      <c r="C123" s="1"/>
      <c r="D123" s="1"/>
      <c r="E123" s="1"/>
      <c r="F123" s="4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</row>
    <row r="124" spans="1:127" ht="15.75" customHeight="1">
      <c r="A124" s="45"/>
      <c r="B124" s="44"/>
      <c r="C124" s="1"/>
      <c r="D124" s="1"/>
      <c r="E124" s="1"/>
      <c r="F124" s="4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</row>
    <row r="125" spans="1:127" ht="15.75" customHeight="1">
      <c r="A125" s="45"/>
      <c r="B125" s="44"/>
      <c r="C125" s="1"/>
      <c r="D125" s="1"/>
      <c r="E125" s="1"/>
      <c r="F125" s="4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</row>
    <row r="126" spans="1:127" ht="15.75" customHeight="1">
      <c r="A126" s="45"/>
      <c r="B126" s="44"/>
      <c r="C126" s="1"/>
      <c r="D126" s="1"/>
      <c r="E126" s="1"/>
      <c r="F126" s="4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</row>
    <row r="127" spans="1:127" ht="15.75" customHeight="1">
      <c r="A127" s="45"/>
      <c r="B127" s="44"/>
      <c r="C127" s="1"/>
      <c r="D127" s="1"/>
      <c r="E127" s="1"/>
      <c r="F127" s="4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</row>
    <row r="128" spans="1:127" ht="15.75" customHeight="1">
      <c r="A128" s="45"/>
      <c r="B128" s="44"/>
      <c r="C128" s="1"/>
      <c r="D128" s="1"/>
      <c r="E128" s="1"/>
      <c r="F128" s="4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</row>
    <row r="129" spans="1:127" ht="15.75" customHeight="1">
      <c r="A129" s="45"/>
      <c r="B129" s="44"/>
      <c r="C129" s="1"/>
      <c r="D129" s="1"/>
      <c r="E129" s="1"/>
      <c r="F129" s="4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</row>
    <row r="130" spans="1:127" ht="15.75" customHeight="1">
      <c r="A130" s="45"/>
      <c r="B130" s="44"/>
      <c r="C130" s="1"/>
      <c r="D130" s="1"/>
      <c r="E130" s="1"/>
      <c r="F130" s="4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</row>
    <row r="131" spans="1:127" ht="15.75" customHeight="1">
      <c r="A131" s="45"/>
      <c r="B131" s="44"/>
      <c r="C131" s="1"/>
      <c r="D131" s="1"/>
      <c r="E131" s="1"/>
      <c r="F131" s="4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</row>
    <row r="132" spans="1:127" ht="15.75" customHeight="1">
      <c r="A132" s="45"/>
      <c r="B132" s="44"/>
      <c r="C132" s="1"/>
      <c r="D132" s="1"/>
      <c r="E132" s="1"/>
      <c r="F132" s="4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</row>
    <row r="133" spans="1:127" ht="15.75" customHeight="1">
      <c r="A133" s="45"/>
      <c r="B133" s="44"/>
      <c r="C133" s="1"/>
      <c r="D133" s="1"/>
      <c r="E133" s="1"/>
      <c r="F133" s="4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</row>
    <row r="134" spans="1:127" ht="15.75" customHeight="1">
      <c r="A134" s="45"/>
      <c r="B134" s="44"/>
      <c r="C134" s="1"/>
      <c r="D134" s="1"/>
      <c r="E134" s="1"/>
      <c r="F134" s="4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</row>
    <row r="135" spans="1:127" ht="15.75" customHeight="1">
      <c r="A135" s="45"/>
      <c r="B135" s="44"/>
      <c r="C135" s="1"/>
      <c r="D135" s="1"/>
      <c r="E135" s="1"/>
      <c r="F135" s="4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</row>
    <row r="136" spans="1:127" ht="15.75" customHeight="1">
      <c r="A136" s="45"/>
      <c r="B136" s="44"/>
      <c r="C136" s="1"/>
      <c r="D136" s="1"/>
      <c r="E136" s="1"/>
      <c r="F136" s="4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</row>
    <row r="137" spans="1:127" ht="15.75" customHeight="1">
      <c r="A137" s="45"/>
      <c r="B137" s="44"/>
      <c r="C137" s="1"/>
      <c r="D137" s="1"/>
      <c r="E137" s="1"/>
      <c r="F137" s="4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</row>
    <row r="138" spans="1:127" ht="15.75" customHeight="1">
      <c r="A138" s="45"/>
      <c r="B138" s="44"/>
      <c r="C138" s="1"/>
      <c r="D138" s="1"/>
      <c r="E138" s="1"/>
      <c r="F138" s="4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</row>
    <row r="139" spans="1:127" ht="15.75" customHeight="1">
      <c r="A139" s="45"/>
      <c r="B139" s="44"/>
      <c r="C139" s="1"/>
      <c r="D139" s="1"/>
      <c r="E139" s="1"/>
      <c r="F139" s="4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</row>
    <row r="140" spans="1:127" ht="15.75" customHeight="1">
      <c r="A140" s="45"/>
      <c r="B140" s="44"/>
      <c r="C140" s="1"/>
      <c r="D140" s="1"/>
      <c r="E140" s="1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</row>
    <row r="141" spans="1:127" ht="15.75" customHeight="1">
      <c r="A141" s="45"/>
      <c r="B141" s="44"/>
      <c r="C141" s="1"/>
      <c r="D141" s="1"/>
      <c r="E141" s="1"/>
      <c r="F141" s="4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</row>
    <row r="142" spans="1:127" ht="15.75" customHeight="1">
      <c r="A142" s="45"/>
      <c r="B142" s="44"/>
      <c r="C142" s="1"/>
      <c r="D142" s="1"/>
      <c r="E142" s="1"/>
      <c r="F142" s="4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</row>
    <row r="143" spans="1:127" ht="15.75" customHeight="1">
      <c r="A143" s="45"/>
      <c r="B143" s="44"/>
      <c r="C143" s="1"/>
      <c r="D143" s="1"/>
      <c r="E143" s="1"/>
      <c r="F143" s="4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</row>
    <row r="144" spans="1:127" ht="15.75" customHeight="1">
      <c r="A144" s="45"/>
      <c r="B144" s="44"/>
      <c r="C144" s="1"/>
      <c r="D144" s="1"/>
      <c r="E144" s="1"/>
      <c r="F144" s="4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</row>
    <row r="145" spans="1:127" ht="15.75" customHeight="1">
      <c r="A145" s="45"/>
      <c r="B145" s="44"/>
      <c r="C145" s="1"/>
      <c r="D145" s="1"/>
      <c r="E145" s="1"/>
      <c r="F145" s="4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</row>
    <row r="146" spans="1:127" ht="15.75" customHeight="1">
      <c r="A146" s="45"/>
      <c r="B146" s="44"/>
      <c r="C146" s="1"/>
      <c r="D146" s="1"/>
      <c r="E146" s="1"/>
      <c r="F146" s="4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</row>
    <row r="147" spans="1:127" ht="15.75" customHeight="1">
      <c r="A147" s="45"/>
      <c r="B147" s="44"/>
      <c r="C147" s="1"/>
      <c r="D147" s="1"/>
      <c r="E147" s="1"/>
      <c r="F147" s="4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</row>
    <row r="148" spans="1:127" ht="15.75" customHeight="1">
      <c r="A148" s="45"/>
      <c r="B148" s="44"/>
      <c r="C148" s="1"/>
      <c r="D148" s="1"/>
      <c r="E148" s="1"/>
      <c r="F148" s="4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</row>
    <row r="149" spans="1:127" ht="15.75" customHeight="1">
      <c r="A149" s="45"/>
      <c r="B149" s="44"/>
      <c r="C149" s="1"/>
      <c r="D149" s="1"/>
      <c r="E149" s="1"/>
      <c r="F149" s="4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</row>
    <row r="150" spans="1:127" ht="15.75" customHeight="1">
      <c r="A150" s="45"/>
      <c r="B150" s="44"/>
      <c r="C150" s="1"/>
      <c r="D150" s="1"/>
      <c r="E150" s="1"/>
      <c r="F150" s="4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</row>
    <row r="151" spans="1:127" ht="15.75" customHeight="1">
      <c r="A151" s="45"/>
      <c r="B151" s="44"/>
      <c r="C151" s="1"/>
      <c r="D151" s="1"/>
      <c r="E151" s="1"/>
      <c r="F151" s="4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</row>
    <row r="152" spans="1:127" ht="15.75" customHeight="1">
      <c r="A152" s="45"/>
      <c r="B152" s="44"/>
      <c r="C152" s="1"/>
      <c r="D152" s="1"/>
      <c r="E152" s="1"/>
      <c r="F152" s="4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</row>
    <row r="153" spans="1:127" ht="15.75" customHeight="1">
      <c r="A153" s="45"/>
      <c r="B153" s="44"/>
      <c r="C153" s="1"/>
      <c r="D153" s="1"/>
      <c r="E153" s="1"/>
      <c r="F153" s="4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</row>
    <row r="154" spans="1:127" ht="15.75" customHeight="1">
      <c r="A154" s="45"/>
      <c r="B154" s="44"/>
      <c r="C154" s="1"/>
      <c r="D154" s="1"/>
      <c r="E154" s="1"/>
      <c r="F154" s="4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</row>
    <row r="155" spans="1:127" ht="15.75" customHeight="1">
      <c r="A155" s="45"/>
      <c r="B155" s="44"/>
      <c r="C155" s="1"/>
      <c r="D155" s="1"/>
      <c r="E155" s="1"/>
      <c r="F155" s="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</row>
    <row r="156" spans="1:127" ht="15.75" customHeight="1">
      <c r="A156" s="45"/>
      <c r="B156" s="44"/>
      <c r="C156" s="1"/>
      <c r="D156" s="1"/>
      <c r="E156" s="1"/>
      <c r="F156" s="4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</row>
    <row r="157" spans="1:127" ht="15.75" customHeight="1">
      <c r="A157" s="45"/>
      <c r="B157" s="44"/>
      <c r="C157" s="1"/>
      <c r="D157" s="1"/>
      <c r="E157" s="1"/>
      <c r="F157" s="4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</row>
    <row r="158" spans="1:127" ht="15.75" customHeight="1">
      <c r="A158" s="45"/>
      <c r="B158" s="44"/>
      <c r="C158" s="1"/>
      <c r="D158" s="1"/>
      <c r="E158" s="1"/>
      <c r="F158" s="4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</row>
    <row r="159" spans="1:127" ht="15.75" customHeight="1">
      <c r="A159" s="45"/>
      <c r="B159" s="44"/>
      <c r="C159" s="1"/>
      <c r="D159" s="1"/>
      <c r="E159" s="1"/>
      <c r="F159" s="4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</row>
    <row r="160" spans="1:127" ht="15.75" customHeight="1">
      <c r="A160" s="45"/>
      <c r="B160" s="44"/>
      <c r="C160" s="1"/>
      <c r="D160" s="1"/>
      <c r="E160" s="1"/>
      <c r="F160" s="4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</row>
    <row r="161" spans="1:127" ht="15.75" customHeight="1">
      <c r="A161" s="45"/>
      <c r="B161" s="44"/>
      <c r="C161" s="1"/>
      <c r="D161" s="1"/>
      <c r="E161" s="1"/>
      <c r="F161" s="4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</row>
    <row r="162" spans="1:127" ht="15.75" customHeight="1">
      <c r="A162" s="45"/>
      <c r="B162" s="44"/>
      <c r="C162" s="1"/>
      <c r="D162" s="1"/>
      <c r="E162" s="1"/>
      <c r="F162" s="4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</row>
    <row r="163" spans="1:127" ht="15.75" customHeight="1">
      <c r="A163" s="45"/>
      <c r="B163" s="44"/>
      <c r="C163" s="1"/>
      <c r="D163" s="1"/>
      <c r="E163" s="1"/>
      <c r="F163" s="4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</row>
    <row r="164" spans="1:127" ht="15.75" customHeight="1">
      <c r="A164" s="45"/>
      <c r="B164" s="44"/>
      <c r="C164" s="1"/>
      <c r="D164" s="1"/>
      <c r="E164" s="1"/>
      <c r="F164" s="4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</row>
    <row r="165" spans="1:127" ht="15.75" customHeight="1">
      <c r="A165" s="45"/>
      <c r="B165" s="44"/>
      <c r="C165" s="1"/>
      <c r="D165" s="1"/>
      <c r="E165" s="1"/>
      <c r="F165" s="4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</row>
    <row r="166" spans="1:127" ht="15.75" customHeight="1">
      <c r="A166" s="45"/>
      <c r="B166" s="44"/>
      <c r="C166" s="1"/>
      <c r="D166" s="1"/>
      <c r="E166" s="1"/>
      <c r="F166" s="4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</row>
    <row r="167" spans="1:127" ht="15.75" customHeight="1">
      <c r="A167" s="45"/>
      <c r="B167" s="44"/>
      <c r="C167" s="1"/>
      <c r="D167" s="1"/>
      <c r="E167" s="1"/>
      <c r="F167" s="4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</row>
    <row r="168" spans="1:127" ht="15.75" customHeight="1">
      <c r="A168" s="45"/>
      <c r="B168" s="44"/>
      <c r="C168" s="1"/>
      <c r="D168" s="1"/>
      <c r="E168" s="1"/>
      <c r="F168" s="4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</row>
    <row r="169" spans="1:127" ht="15.75" customHeight="1">
      <c r="A169" s="45"/>
      <c r="B169" s="44"/>
      <c r="C169" s="1"/>
      <c r="D169" s="1"/>
      <c r="E169" s="1"/>
      <c r="F169" s="4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</row>
    <row r="170" spans="1:127" ht="15.75" customHeight="1">
      <c r="A170" s="45"/>
      <c r="B170" s="44"/>
      <c r="C170" s="1"/>
      <c r="D170" s="1"/>
      <c r="E170" s="1"/>
      <c r="F170" s="4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</row>
    <row r="171" spans="1:127" ht="15.75" customHeight="1">
      <c r="A171" s="45"/>
      <c r="B171" s="44"/>
      <c r="C171" s="1"/>
      <c r="D171" s="1"/>
      <c r="E171" s="1"/>
      <c r="F171" s="4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</row>
    <row r="172" spans="1:127" ht="15.75" customHeight="1">
      <c r="A172" s="45"/>
      <c r="B172" s="44"/>
      <c r="C172" s="1"/>
      <c r="D172" s="1"/>
      <c r="E172" s="1"/>
      <c r="F172" s="4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</row>
    <row r="173" spans="1:127" ht="15.75" customHeight="1">
      <c r="A173" s="45"/>
      <c r="B173" s="44"/>
      <c r="C173" s="1"/>
      <c r="D173" s="1"/>
      <c r="E173" s="1"/>
      <c r="F173" s="4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</row>
    <row r="174" spans="1:127" ht="15.75" customHeight="1">
      <c r="A174" s="45"/>
      <c r="B174" s="44"/>
      <c r="C174" s="1"/>
      <c r="D174" s="1"/>
      <c r="E174" s="1"/>
      <c r="F174" s="4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</row>
    <row r="175" spans="1:127" ht="15.75" customHeight="1">
      <c r="A175" s="45"/>
      <c r="B175" s="44"/>
      <c r="C175" s="1"/>
      <c r="D175" s="1"/>
      <c r="E175" s="1"/>
      <c r="F175" s="4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</row>
    <row r="176" spans="1:127" ht="15.75" customHeight="1">
      <c r="A176" s="45"/>
      <c r="B176" s="44"/>
      <c r="C176" s="1"/>
      <c r="D176" s="1"/>
      <c r="E176" s="1"/>
      <c r="F176" s="4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</row>
    <row r="177" spans="1:127" ht="15.75" customHeight="1">
      <c r="A177" s="45"/>
      <c r="B177" s="44"/>
      <c r="C177" s="1"/>
      <c r="D177" s="1"/>
      <c r="E177" s="1"/>
      <c r="F177" s="4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</row>
    <row r="178" spans="1:127" ht="15.75" customHeight="1">
      <c r="A178" s="45"/>
      <c r="B178" s="44"/>
      <c r="C178" s="1"/>
      <c r="D178" s="1"/>
      <c r="E178" s="1"/>
      <c r="F178" s="4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</row>
    <row r="179" spans="1:127" ht="15.75" customHeight="1">
      <c r="A179" s="45"/>
      <c r="B179" s="44"/>
      <c r="C179" s="1"/>
      <c r="D179" s="1"/>
      <c r="E179" s="1"/>
      <c r="F179" s="4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</row>
    <row r="180" spans="1:127" ht="15.75" customHeight="1">
      <c r="A180" s="45"/>
      <c r="B180" s="44"/>
      <c r="C180" s="1"/>
      <c r="D180" s="1"/>
      <c r="E180" s="1"/>
      <c r="F180" s="4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</row>
    <row r="181" spans="1:127" ht="15.75" customHeight="1">
      <c r="A181" s="45"/>
      <c r="B181" s="44"/>
      <c r="C181" s="1"/>
      <c r="D181" s="1"/>
      <c r="E181" s="1"/>
      <c r="F181" s="4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</row>
    <row r="182" spans="1:127" ht="15.75" customHeight="1">
      <c r="A182" s="45"/>
      <c r="B182" s="44"/>
      <c r="C182" s="1"/>
      <c r="D182" s="1"/>
      <c r="E182" s="1"/>
      <c r="F182" s="4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</row>
    <row r="183" spans="1:127" ht="15.75" customHeight="1">
      <c r="A183" s="45"/>
      <c r="B183" s="44"/>
      <c r="C183" s="1"/>
      <c r="D183" s="1"/>
      <c r="E183" s="1"/>
      <c r="F183" s="4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</row>
    <row r="184" spans="1:127" ht="15.75" customHeight="1">
      <c r="A184" s="45"/>
      <c r="B184" s="44"/>
      <c r="C184" s="1"/>
      <c r="D184" s="1"/>
      <c r="E184" s="1"/>
      <c r="F184" s="4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</row>
    <row r="185" spans="1:127" ht="15.75" customHeight="1">
      <c r="A185" s="45"/>
      <c r="B185" s="44"/>
      <c r="C185" s="1"/>
      <c r="D185" s="1"/>
      <c r="E185" s="1"/>
      <c r="F185" s="4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</row>
    <row r="186" spans="1:127" ht="15.75" customHeight="1">
      <c r="A186" s="45"/>
      <c r="B186" s="44"/>
      <c r="C186" s="1"/>
      <c r="D186" s="1"/>
      <c r="E186" s="1"/>
      <c r="F186" s="4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</row>
    <row r="187" spans="1:127" ht="15.75" customHeight="1">
      <c r="A187" s="45"/>
      <c r="B187" s="44"/>
      <c r="C187" s="1"/>
      <c r="D187" s="1"/>
      <c r="E187" s="1"/>
      <c r="F187" s="4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</row>
    <row r="188" spans="1:127" ht="15.75" customHeight="1">
      <c r="A188" s="45"/>
      <c r="B188" s="44"/>
      <c r="C188" s="1"/>
      <c r="D188" s="1"/>
      <c r="E188" s="1"/>
      <c r="F188" s="4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</row>
    <row r="189" spans="1:127" ht="15.75" customHeight="1">
      <c r="A189" s="45"/>
      <c r="B189" s="44"/>
      <c r="C189" s="1"/>
      <c r="D189" s="1"/>
      <c r="E189" s="1"/>
      <c r="F189" s="4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</row>
    <row r="190" spans="1:127" ht="15.75" customHeight="1">
      <c r="A190" s="45"/>
      <c r="B190" s="44"/>
      <c r="C190" s="1"/>
      <c r="D190" s="1"/>
      <c r="E190" s="1"/>
      <c r="F190" s="4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</row>
    <row r="191" spans="1:127" ht="15.75" customHeight="1">
      <c r="A191" s="45"/>
      <c r="B191" s="44"/>
      <c r="C191" s="1"/>
      <c r="D191" s="1"/>
      <c r="E191" s="1"/>
      <c r="F191" s="4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</row>
    <row r="192" spans="1:127" ht="15.75" customHeight="1">
      <c r="A192" s="45"/>
      <c r="B192" s="44"/>
      <c r="C192" s="1"/>
      <c r="D192" s="1"/>
      <c r="E192" s="1"/>
      <c r="F192" s="4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</row>
    <row r="193" spans="1:127" ht="15.75" customHeight="1">
      <c r="A193" s="45"/>
      <c r="B193" s="44"/>
      <c r="C193" s="1"/>
      <c r="D193" s="1"/>
      <c r="E193" s="1"/>
      <c r="F193" s="4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</row>
    <row r="194" spans="1:127" ht="15.75" customHeight="1">
      <c r="A194" s="45"/>
      <c r="B194" s="44"/>
      <c r="C194" s="1"/>
      <c r="D194" s="1"/>
      <c r="E194" s="1"/>
      <c r="F194" s="4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</row>
    <row r="195" spans="1:127" ht="15.75" customHeight="1">
      <c r="A195" s="45"/>
      <c r="B195" s="44"/>
      <c r="C195" s="1"/>
      <c r="D195" s="1"/>
      <c r="E195" s="1"/>
      <c r="F195" s="4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</row>
    <row r="196" spans="1:127" ht="15.75" customHeight="1">
      <c r="A196" s="45"/>
      <c r="B196" s="44"/>
      <c r="C196" s="1"/>
      <c r="D196" s="1"/>
      <c r="E196" s="1"/>
      <c r="F196" s="4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</row>
    <row r="197" spans="1:127" ht="15.75" customHeight="1">
      <c r="A197" s="45"/>
      <c r="B197" s="44"/>
      <c r="C197" s="1"/>
      <c r="D197" s="1"/>
      <c r="E197" s="1"/>
      <c r="F197" s="4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</row>
    <row r="198" spans="1:127" ht="15.75" customHeight="1">
      <c r="A198" s="45"/>
      <c r="B198" s="44"/>
      <c r="C198" s="1"/>
      <c r="D198" s="1"/>
      <c r="E198" s="1"/>
      <c r="F198" s="4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</row>
    <row r="199" spans="1:127" ht="15.75" customHeight="1">
      <c r="A199" s="45"/>
      <c r="B199" s="44"/>
      <c r="C199" s="1"/>
      <c r="D199" s="1"/>
      <c r="E199" s="1"/>
      <c r="F199" s="4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</row>
    <row r="200" spans="1:127" ht="15.75" customHeight="1">
      <c r="A200" s="45"/>
      <c r="B200" s="44"/>
      <c r="C200" s="1"/>
      <c r="D200" s="1"/>
      <c r="E200" s="1"/>
      <c r="F200" s="4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</row>
    <row r="201" spans="1:127" ht="15.75" customHeight="1">
      <c r="A201" s="45"/>
      <c r="B201" s="44"/>
      <c r="C201" s="1"/>
      <c r="D201" s="1"/>
      <c r="E201" s="1"/>
      <c r="F201" s="4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</row>
    <row r="202" spans="1:127" ht="15.75" customHeight="1">
      <c r="A202" s="45"/>
      <c r="B202" s="44"/>
      <c r="C202" s="1"/>
      <c r="D202" s="1"/>
      <c r="E202" s="1"/>
      <c r="F202" s="4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</row>
    <row r="203" spans="1:127" ht="15.75" customHeight="1">
      <c r="A203" s="45"/>
      <c r="B203" s="44"/>
      <c r="C203" s="1"/>
      <c r="D203" s="1"/>
      <c r="E203" s="1"/>
      <c r="F203" s="4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</row>
    <row r="204" spans="1:127" ht="15.75" customHeight="1">
      <c r="A204" s="45"/>
      <c r="B204" s="44"/>
      <c r="C204" s="1"/>
      <c r="D204" s="1"/>
      <c r="E204" s="1"/>
      <c r="F204" s="4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</row>
    <row r="205" spans="1:127" ht="15.75" customHeight="1">
      <c r="A205" s="45"/>
      <c r="B205" s="44"/>
      <c r="C205" s="1"/>
      <c r="D205" s="1"/>
      <c r="E205" s="1"/>
      <c r="F205" s="4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</row>
    <row r="206" spans="1:127" ht="15.75" customHeight="1">
      <c r="A206" s="45"/>
      <c r="B206" s="44"/>
      <c r="C206" s="1"/>
      <c r="D206" s="1"/>
      <c r="E206" s="1"/>
      <c r="F206" s="4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</row>
    <row r="207" spans="1:127" ht="15.75" customHeight="1">
      <c r="A207" s="45"/>
      <c r="B207" s="44"/>
      <c r="C207" s="1"/>
      <c r="D207" s="1"/>
      <c r="E207" s="1"/>
      <c r="F207" s="4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</row>
    <row r="208" spans="1:127" ht="15.75" customHeight="1">
      <c r="A208" s="45"/>
      <c r="B208" s="44"/>
      <c r="C208" s="1"/>
      <c r="D208" s="1"/>
      <c r="E208" s="1"/>
      <c r="F208" s="4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</row>
    <row r="209" spans="1:127" ht="15.75" customHeight="1">
      <c r="A209" s="45"/>
      <c r="B209" s="44"/>
      <c r="C209" s="1"/>
      <c r="D209" s="1"/>
      <c r="E209" s="1"/>
      <c r="F209" s="4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</row>
    <row r="210" spans="1:127" ht="15.75" customHeight="1">
      <c r="A210" s="45"/>
      <c r="B210" s="44"/>
      <c r="C210" s="1"/>
      <c r="D210" s="1"/>
      <c r="E210" s="1"/>
      <c r="F210" s="4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</row>
    <row r="211" spans="1:127" ht="15.75" customHeight="1">
      <c r="A211" s="45"/>
      <c r="B211" s="44"/>
      <c r="C211" s="1"/>
      <c r="D211" s="1"/>
      <c r="E211" s="1"/>
      <c r="F211" s="4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</row>
    <row r="212" spans="1:127" ht="15.75" customHeight="1">
      <c r="A212" s="45"/>
      <c r="B212" s="44"/>
      <c r="C212" s="1"/>
      <c r="D212" s="1"/>
      <c r="E212" s="1"/>
      <c r="F212" s="4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</row>
    <row r="213" spans="1:127" ht="15.75" customHeight="1">
      <c r="A213" s="45"/>
      <c r="B213" s="44"/>
      <c r="C213" s="1"/>
      <c r="D213" s="1"/>
      <c r="E213" s="1"/>
      <c r="F213" s="4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</row>
    <row r="214" spans="1:127" ht="15.75" customHeight="1">
      <c r="A214" s="45"/>
      <c r="B214" s="44"/>
      <c r="C214" s="1"/>
      <c r="D214" s="1"/>
      <c r="E214" s="1"/>
      <c r="F214" s="4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</row>
    <row r="215" spans="1:127" ht="15.75" customHeight="1">
      <c r="A215" s="45"/>
      <c r="B215" s="44"/>
      <c r="C215" s="1"/>
      <c r="D215" s="1"/>
      <c r="E215" s="1"/>
      <c r="F215" s="4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</row>
    <row r="216" spans="1:127" ht="15.75" customHeight="1">
      <c r="A216" s="45"/>
      <c r="B216" s="44"/>
      <c r="C216" s="1"/>
      <c r="D216" s="1"/>
      <c r="E216" s="1"/>
      <c r="F216" s="4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</row>
    <row r="217" spans="1:127" ht="15.75" customHeight="1">
      <c r="A217" s="45"/>
      <c r="B217" s="44"/>
      <c r="C217" s="1"/>
      <c r="D217" s="1"/>
      <c r="E217" s="1"/>
      <c r="F217" s="4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</row>
    <row r="218" spans="1:127" ht="15.75" customHeight="1">
      <c r="A218" s="45"/>
      <c r="B218" s="44"/>
      <c r="C218" s="1"/>
      <c r="D218" s="1"/>
      <c r="E218" s="1"/>
      <c r="F218" s="4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</row>
    <row r="219" spans="1:127" ht="15.75" customHeight="1">
      <c r="A219" s="45"/>
      <c r="B219" s="44"/>
      <c r="C219" s="1"/>
      <c r="D219" s="1"/>
      <c r="E219" s="1"/>
      <c r="F219" s="4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</row>
    <row r="220" spans="1:127" ht="15.75" customHeight="1">
      <c r="A220" s="45"/>
      <c r="B220" s="44"/>
      <c r="C220" s="1"/>
      <c r="D220" s="1"/>
      <c r="E220" s="1"/>
      <c r="F220" s="4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</row>
    <row r="221" spans="1:127" ht="15.75" customHeight="1">
      <c r="A221" s="45"/>
      <c r="B221" s="44"/>
      <c r="C221" s="1"/>
      <c r="D221" s="1"/>
      <c r="E221" s="1"/>
      <c r="F221" s="4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</row>
    <row r="222" spans="1:127" ht="15.75" customHeight="1">
      <c r="A222" s="45"/>
      <c r="B222" s="44"/>
      <c r="C222" s="1"/>
      <c r="D222" s="1"/>
      <c r="E222" s="1"/>
      <c r="F222" s="4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</row>
    <row r="223" spans="1:127" ht="15.75" customHeight="1">
      <c r="A223" s="45"/>
      <c r="B223" s="44"/>
      <c r="C223" s="1"/>
      <c r="D223" s="1"/>
      <c r="E223" s="1"/>
      <c r="F223" s="4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</row>
    <row r="224" spans="1:127" ht="15.75" customHeight="1">
      <c r="A224" s="45"/>
      <c r="B224" s="44"/>
      <c r="C224" s="1"/>
      <c r="D224" s="1"/>
      <c r="E224" s="1"/>
      <c r="F224" s="4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</row>
    <row r="225" spans="1:127" ht="15.75" customHeight="1">
      <c r="A225" s="45"/>
      <c r="B225" s="44"/>
      <c r="C225" s="1"/>
      <c r="D225" s="1"/>
      <c r="E225" s="1"/>
      <c r="F225" s="4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</row>
    <row r="226" spans="1:127" ht="15.75" customHeight="1">
      <c r="A226" s="45"/>
      <c r="B226" s="44"/>
      <c r="C226" s="1"/>
      <c r="D226" s="1"/>
      <c r="E226" s="1"/>
      <c r="F226" s="4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</row>
    <row r="227" spans="1:127" ht="15.75" customHeight="1">
      <c r="A227" s="45"/>
      <c r="B227" s="44"/>
      <c r="C227" s="1"/>
      <c r="D227" s="1"/>
      <c r="E227" s="1"/>
      <c r="F227" s="4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</row>
    <row r="228" spans="1:127" ht="15.75" customHeight="1">
      <c r="A228" s="45"/>
      <c r="B228" s="44"/>
      <c r="C228" s="1"/>
      <c r="D228" s="1"/>
      <c r="E228" s="1"/>
      <c r="F228" s="4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</row>
    <row r="229" spans="1:127" ht="15.75" customHeight="1">
      <c r="A229" s="45"/>
      <c r="B229" s="44"/>
      <c r="C229" s="1"/>
      <c r="D229" s="1"/>
      <c r="E229" s="1"/>
      <c r="F229" s="4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</row>
    <row r="230" spans="1:127" ht="15.75" customHeight="1">
      <c r="A230" s="45"/>
      <c r="B230" s="44"/>
      <c r="C230" s="1"/>
      <c r="D230" s="1"/>
      <c r="E230" s="1"/>
      <c r="F230" s="4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</row>
    <row r="231" spans="1:127" ht="15.75" customHeight="1">
      <c r="A231" s="45"/>
      <c r="B231" s="44"/>
      <c r="C231" s="1"/>
      <c r="D231" s="1"/>
      <c r="E231" s="1"/>
      <c r="F231" s="4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</row>
    <row r="232" spans="1:127" ht="15.75" customHeight="1">
      <c r="A232" s="45"/>
      <c r="B232" s="44"/>
      <c r="C232" s="1"/>
      <c r="D232" s="1"/>
      <c r="E232" s="1"/>
      <c r="F232" s="4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</row>
    <row r="233" spans="1:127" ht="15.75" customHeight="1">
      <c r="A233" s="45"/>
      <c r="B233" s="44"/>
      <c r="C233" s="1"/>
      <c r="D233" s="1"/>
      <c r="E233" s="1"/>
      <c r="F233" s="4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</row>
    <row r="234" spans="1:127" ht="15.75" customHeight="1">
      <c r="A234" s="45"/>
      <c r="B234" s="44"/>
      <c r="C234" s="1"/>
      <c r="D234" s="1"/>
      <c r="E234" s="1"/>
      <c r="F234" s="4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</row>
    <row r="235" spans="1:127" ht="15.75" customHeight="1">
      <c r="A235" s="45"/>
      <c r="B235" s="44"/>
      <c r="C235" s="1"/>
      <c r="D235" s="1"/>
      <c r="E235" s="1"/>
      <c r="F235" s="4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</row>
    <row r="236" spans="1:127" ht="15.75" customHeight="1">
      <c r="A236" s="45"/>
      <c r="B236" s="44"/>
      <c r="C236" s="1"/>
      <c r="D236" s="1"/>
      <c r="E236" s="1"/>
      <c r="F236" s="4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</row>
    <row r="237" spans="1:127" ht="15.75" customHeight="1">
      <c r="A237" s="45"/>
      <c r="B237" s="44"/>
      <c r="C237" s="1"/>
      <c r="D237" s="1"/>
      <c r="E237" s="1"/>
      <c r="F237" s="4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</row>
    <row r="238" spans="1:127" ht="15.75" customHeight="1">
      <c r="A238" s="45"/>
      <c r="B238" s="44"/>
      <c r="C238" s="1"/>
      <c r="D238" s="1"/>
      <c r="E238" s="1"/>
      <c r="F238" s="4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</row>
    <row r="239" spans="1:127" ht="15.75" customHeight="1">
      <c r="A239" s="45"/>
      <c r="B239" s="44"/>
      <c r="C239" s="1"/>
      <c r="D239" s="1"/>
      <c r="E239" s="1"/>
      <c r="F239" s="4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</row>
    <row r="240" spans="1:127" ht="15.75" customHeight="1">
      <c r="A240" s="45"/>
      <c r="B240" s="44"/>
      <c r="C240" s="1"/>
      <c r="D240" s="1"/>
      <c r="E240" s="1"/>
      <c r="F240" s="4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</row>
    <row r="241" spans="1:127" ht="15.75" customHeight="1">
      <c r="A241" s="45"/>
      <c r="B241" s="44"/>
      <c r="C241" s="1"/>
      <c r="D241" s="1"/>
      <c r="E241" s="1"/>
      <c r="F241" s="4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</row>
    <row r="242" spans="1:127" ht="15.75" customHeight="1">
      <c r="A242" s="45"/>
      <c r="B242" s="44"/>
      <c r="C242" s="1"/>
      <c r="D242" s="1"/>
      <c r="E242" s="1"/>
      <c r="F242" s="4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</row>
    <row r="243" spans="1:127" ht="15.75" customHeight="1">
      <c r="A243" s="45"/>
      <c r="B243" s="44"/>
      <c r="C243" s="1"/>
      <c r="D243" s="1"/>
      <c r="E243" s="1"/>
      <c r="F243" s="4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</row>
    <row r="244" spans="1:127" ht="15.75" customHeight="1">
      <c r="A244" s="45"/>
      <c r="B244" s="44"/>
      <c r="C244" s="1"/>
      <c r="D244" s="1"/>
      <c r="E244" s="1"/>
      <c r="F244" s="4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</row>
    <row r="245" spans="1:127" ht="15.75" customHeight="1">
      <c r="A245" s="46"/>
      <c r="B245" s="47"/>
      <c r="F245" s="47"/>
      <c r="CT245" s="48"/>
      <c r="CU245" s="48"/>
      <c r="CV245" s="48"/>
      <c r="CW245" s="48"/>
    </row>
    <row r="246" spans="1:127" ht="15.75" customHeight="1">
      <c r="A246" s="46"/>
      <c r="B246" s="47"/>
      <c r="F246" s="47"/>
      <c r="CT246" s="48"/>
      <c r="CU246" s="48"/>
      <c r="CV246" s="48"/>
      <c r="CW246" s="48"/>
    </row>
    <row r="247" spans="1:127" ht="15.75" customHeight="1">
      <c r="A247" s="46"/>
      <c r="B247" s="47"/>
      <c r="F247" s="47"/>
      <c r="CT247" s="48"/>
      <c r="CU247" s="48"/>
      <c r="CV247" s="48"/>
      <c r="CW247" s="48"/>
    </row>
    <row r="248" spans="1:127" ht="15.75" customHeight="1">
      <c r="A248" s="46"/>
      <c r="B248" s="47"/>
      <c r="F248" s="47"/>
      <c r="CT248" s="48"/>
      <c r="CU248" s="48"/>
      <c r="CV248" s="48"/>
      <c r="CW248" s="48"/>
    </row>
    <row r="249" spans="1:127" ht="15.75" customHeight="1">
      <c r="A249" s="46"/>
      <c r="B249" s="47"/>
      <c r="F249" s="47"/>
      <c r="CT249" s="48"/>
      <c r="CU249" s="48"/>
      <c r="CV249" s="48"/>
      <c r="CW249" s="48"/>
    </row>
    <row r="250" spans="1:127" ht="15.75" customHeight="1">
      <c r="A250" s="46"/>
      <c r="B250" s="47"/>
      <c r="F250" s="47"/>
      <c r="CT250" s="48"/>
      <c r="CU250" s="48"/>
      <c r="CV250" s="48"/>
      <c r="CW250" s="48"/>
    </row>
    <row r="251" spans="1:127" ht="15.75" customHeight="1">
      <c r="A251" s="46"/>
      <c r="B251" s="47"/>
      <c r="F251" s="47"/>
      <c r="CT251" s="48"/>
      <c r="CU251" s="48"/>
      <c r="CV251" s="48"/>
      <c r="CW251" s="48"/>
    </row>
  </sheetData>
  <autoFilter ref="A8:DW51" xr:uid="{00000000-0009-0000-0000-000000000000}"/>
  <mergeCells count="80">
    <mergeCell ref="A6:C6"/>
    <mergeCell ref="G6:O7"/>
    <mergeCell ref="A7:C7"/>
    <mergeCell ref="G44:M44"/>
    <mergeCell ref="N44:O44"/>
    <mergeCell ref="X1:AA1"/>
    <mergeCell ref="AB1:AK1"/>
    <mergeCell ref="AB2:AK2"/>
    <mergeCell ref="A4:C4"/>
    <mergeCell ref="D4:F4"/>
    <mergeCell ref="G3:O3"/>
    <mergeCell ref="G4:O5"/>
    <mergeCell ref="P4:S5"/>
    <mergeCell ref="T4:W5"/>
    <mergeCell ref="X4:AA5"/>
    <mergeCell ref="AB4:AK5"/>
    <mergeCell ref="D5:F5"/>
    <mergeCell ref="A5:C5"/>
    <mergeCell ref="AB3:AK3"/>
    <mergeCell ref="A1:B2"/>
    <mergeCell ref="C1:F2"/>
    <mergeCell ref="A3:C3"/>
    <mergeCell ref="D3:F3"/>
    <mergeCell ref="P3:S3"/>
    <mergeCell ref="P1:S1"/>
    <mergeCell ref="T1:W1"/>
    <mergeCell ref="G1:O1"/>
    <mergeCell ref="G48:M48"/>
    <mergeCell ref="N48:O48"/>
    <mergeCell ref="T2:W2"/>
    <mergeCell ref="X2:AA2"/>
    <mergeCell ref="T3:W3"/>
    <mergeCell ref="X3:AA3"/>
    <mergeCell ref="N45:O45"/>
    <mergeCell ref="G45:M45"/>
    <mergeCell ref="G46:M46"/>
    <mergeCell ref="N46:O46"/>
    <mergeCell ref="G47:M47"/>
    <mergeCell ref="N47:O47"/>
    <mergeCell ref="G2:O2"/>
    <mergeCell ref="P2:S2"/>
    <mergeCell ref="G49:M49"/>
    <mergeCell ref="N49:O49"/>
    <mergeCell ref="G50:M50"/>
    <mergeCell ref="N50:O50"/>
    <mergeCell ref="G51:M51"/>
    <mergeCell ref="N51:O51"/>
    <mergeCell ref="DJ4:DK4"/>
    <mergeCell ref="DL4:DR4"/>
    <mergeCell ref="CX6:DW6"/>
    <mergeCell ref="DL7:DM7"/>
    <mergeCell ref="DN7:DO7"/>
    <mergeCell ref="DP7:DQ7"/>
    <mergeCell ref="DR7:DS7"/>
    <mergeCell ref="DT7:DU7"/>
    <mergeCell ref="DV7:DW7"/>
    <mergeCell ref="CX7:CY7"/>
    <mergeCell ref="CZ7:DA7"/>
    <mergeCell ref="DB7:DC7"/>
    <mergeCell ref="DD7:DE7"/>
    <mergeCell ref="DF7:DG7"/>
    <mergeCell ref="DH7:DI7"/>
    <mergeCell ref="DJ7:DK7"/>
    <mergeCell ref="CY1:DG1"/>
    <mergeCell ref="CY2:DG2"/>
    <mergeCell ref="CY4:CZ4"/>
    <mergeCell ref="DA4:DG4"/>
    <mergeCell ref="AU3:BU3"/>
    <mergeCell ref="AU4:BU5"/>
    <mergeCell ref="BV4:CR5"/>
    <mergeCell ref="AL1:AT1"/>
    <mergeCell ref="AU1:BU1"/>
    <mergeCell ref="BV1:CR1"/>
    <mergeCell ref="AL3:AT3"/>
    <mergeCell ref="CS1:CW5"/>
    <mergeCell ref="AU2:BU2"/>
    <mergeCell ref="BV2:CR2"/>
    <mergeCell ref="BV3:CR3"/>
    <mergeCell ref="AL2:AT2"/>
    <mergeCell ref="AL4:AT5"/>
  </mergeCells>
  <conditionalFormatting sqref="E9:E43">
    <cfRule type="containsText" dxfId="78" priority="1" operator="containsText" text="RETIRADO">
      <formula>NOT(ISERROR(SEARCH(("RETIRADO"),(E9))))</formula>
    </cfRule>
  </conditionalFormatting>
  <conditionalFormatting sqref="E9:E43">
    <cfRule type="containsText" dxfId="77" priority="2" operator="containsText" text="EN FORMACIÓN">
      <formula>NOT(ISERROR(SEARCH(("EN FORMACIÓN"),(E9))))</formula>
    </cfRule>
  </conditionalFormatting>
  <conditionalFormatting sqref="F9:F43">
    <cfRule type="cellIs" dxfId="76" priority="3" operator="equal">
      <formula>"REVISAR FALTAS"</formula>
    </cfRule>
  </conditionalFormatting>
  <conditionalFormatting sqref="F9:F43">
    <cfRule type="cellIs" dxfId="75" priority="4" operator="equal">
      <formula>"CON FALTAS"</formula>
    </cfRule>
  </conditionalFormatting>
  <conditionalFormatting sqref="F9:F43">
    <cfRule type="cellIs" dxfId="74" priority="5" operator="equal">
      <formula>"FALTAS INTERMITENTES"</formula>
    </cfRule>
  </conditionalFormatting>
  <conditionalFormatting sqref="G8:N8 P9:CW43">
    <cfRule type="cellIs" dxfId="73" priority="6" operator="equal">
      <formula>"RET"</formula>
    </cfRule>
  </conditionalFormatting>
  <conditionalFormatting sqref="G8:N8 P9:CW43">
    <cfRule type="cellIs" dxfId="72" priority="7" operator="equal">
      <formula>"SFF"</formula>
    </cfRule>
  </conditionalFormatting>
  <conditionalFormatting sqref="G8:N8 P9:CW43">
    <cfRule type="cellIs" dxfId="71" priority="8" operator="equal">
      <formula>"CLM"</formula>
    </cfRule>
  </conditionalFormatting>
  <conditionalFormatting sqref="G8:N8">
    <cfRule type="cellIs" dxfId="70" priority="9" operator="equal">
      <formula>"LIC"</formula>
    </cfRule>
  </conditionalFormatting>
  <conditionalFormatting sqref="G8:N8 P9:CW43">
    <cfRule type="cellIs" dxfId="69" priority="10" operator="equal">
      <formula>"INC"</formula>
    </cfRule>
  </conditionalFormatting>
  <conditionalFormatting sqref="G8:N8 P9:CW43">
    <cfRule type="cellIs" dxfId="68" priority="11" operator="equal">
      <formula>"SE"</formula>
    </cfRule>
  </conditionalFormatting>
  <conditionalFormatting sqref="G8:N8 P9:CW43">
    <cfRule type="cellIs" dxfId="67" priority="12" operator="equal">
      <formula>"CE"</formula>
    </cfRule>
  </conditionalFormatting>
  <conditionalFormatting sqref="G8:N8 P9:CW43">
    <cfRule type="cellIs" dxfId="66" priority="13" operator="equal">
      <formula>"A"</formula>
    </cfRule>
  </conditionalFormatting>
  <conditionalFormatting sqref="P44:CW51 G9:O43">
    <cfRule type="cellIs" dxfId="65" priority="14" operator="equal">
      <formula>0</formula>
    </cfRule>
  </conditionalFormatting>
  <conditionalFormatting sqref="N44:O51">
    <cfRule type="cellIs" dxfId="64" priority="15" operator="equal">
      <formula>"RET"</formula>
    </cfRule>
  </conditionalFormatting>
  <conditionalFormatting sqref="N44:O51">
    <cfRule type="cellIs" dxfId="63" priority="16" operator="equal">
      <formula>"SFF"</formula>
    </cfRule>
  </conditionalFormatting>
  <conditionalFormatting sqref="N44:O51">
    <cfRule type="cellIs" dxfId="62" priority="17" operator="equal">
      <formula>"CLM"</formula>
    </cfRule>
  </conditionalFormatting>
  <conditionalFormatting sqref="N44:O51">
    <cfRule type="cellIs" dxfId="61" priority="18" operator="equal">
      <formula>"LIC"</formula>
    </cfRule>
  </conditionalFormatting>
  <conditionalFormatting sqref="N44:O51">
    <cfRule type="cellIs" dxfId="60" priority="19" operator="equal">
      <formula>"INC"</formula>
    </cfRule>
  </conditionalFormatting>
  <conditionalFormatting sqref="N44:O51">
    <cfRule type="cellIs" dxfId="59" priority="20" operator="equal">
      <formula>"SE"</formula>
    </cfRule>
  </conditionalFormatting>
  <conditionalFormatting sqref="N44:O51">
    <cfRule type="cellIs" dxfId="58" priority="21" operator="equal">
      <formula>"CE"</formula>
    </cfRule>
  </conditionalFormatting>
  <conditionalFormatting sqref="N44:O51">
    <cfRule type="cellIs" dxfId="57" priority="22" operator="equal">
      <formula>"A"</formula>
    </cfRule>
  </conditionalFormatting>
  <conditionalFormatting sqref="O9:O43">
    <cfRule type="cellIs" dxfId="56" priority="23" operator="greaterThan">
      <formula>0.4</formula>
    </cfRule>
  </conditionalFormatting>
  <conditionalFormatting sqref="O9:O43">
    <cfRule type="cellIs" dxfId="55" priority="24" operator="between">
      <formula>0.21</formula>
      <formula>0.4</formula>
    </cfRule>
  </conditionalFormatting>
  <conditionalFormatting sqref="O9:O43">
    <cfRule type="cellIs" dxfId="54" priority="25" operator="between">
      <formula>0</formula>
      <formula>0.2</formula>
    </cfRule>
  </conditionalFormatting>
  <conditionalFormatting sqref="P6:CW6">
    <cfRule type="containsText" dxfId="53" priority="26" operator="containsText" text="dic">
      <formula>NOT(ISERROR(SEARCH(("dic"),(P6))))</formula>
    </cfRule>
  </conditionalFormatting>
  <conditionalFormatting sqref="P6:CW6">
    <cfRule type="containsText" dxfId="52" priority="27" operator="containsText" text="oct">
      <formula>NOT(ISERROR(SEARCH(("oct"),(P6))))</formula>
    </cfRule>
  </conditionalFormatting>
  <conditionalFormatting sqref="P6:CW6">
    <cfRule type="containsText" dxfId="51" priority="28" operator="containsText" text="ago">
      <formula>NOT(ISERROR(SEARCH(("ago"),(P6))))</formula>
    </cfRule>
  </conditionalFormatting>
  <conditionalFormatting sqref="P6:CW6">
    <cfRule type="containsText" dxfId="50" priority="29" operator="containsText" text="jun">
      <formula>NOT(ISERROR(SEARCH(("jun"),(P6))))</formula>
    </cfRule>
  </conditionalFormatting>
  <conditionalFormatting sqref="P6:CW6">
    <cfRule type="containsText" dxfId="49" priority="30" operator="containsText" text="abr">
      <formula>NOT(ISERROR(SEARCH(("abr"),(P6))))</formula>
    </cfRule>
  </conditionalFormatting>
  <conditionalFormatting sqref="P6:CW6">
    <cfRule type="containsText" dxfId="48" priority="31" operator="containsText" text="feb">
      <formula>NOT(ISERROR(SEARCH(("feb"),(P6))))</formula>
    </cfRule>
  </conditionalFormatting>
  <conditionalFormatting sqref="P6:CW6">
    <cfRule type="containsText" dxfId="47" priority="32" operator="containsText" text="jul">
      <formula>NOT(ISERROR(SEARCH(("jul"),(P6))))</formula>
    </cfRule>
  </conditionalFormatting>
  <conditionalFormatting sqref="P6:CW6">
    <cfRule type="containsText" dxfId="46" priority="33" operator="containsText" text="nov">
      <formula>NOT(ISERROR(SEARCH(("nov"),(P6))))</formula>
    </cfRule>
  </conditionalFormatting>
  <conditionalFormatting sqref="P6:CW6">
    <cfRule type="containsText" dxfId="45" priority="34" operator="containsText" text="sep">
      <formula>NOT(ISERROR(SEARCH(("sep"),(P6))))</formula>
    </cfRule>
  </conditionalFormatting>
  <conditionalFormatting sqref="P6:CW6">
    <cfRule type="containsText" dxfId="44" priority="35" operator="containsText" text="may">
      <formula>NOT(ISERROR(SEARCH(("may"),(P6))))</formula>
    </cfRule>
  </conditionalFormatting>
  <conditionalFormatting sqref="P6:CW6">
    <cfRule type="containsText" dxfId="43" priority="36" operator="containsText" text="mar">
      <formula>NOT(ISERROR(SEARCH(("mar"),(P6))))</formula>
    </cfRule>
  </conditionalFormatting>
  <conditionalFormatting sqref="P6:CW6">
    <cfRule type="containsText" dxfId="42" priority="37" operator="containsText" text="ene">
      <formula>NOT(ISERROR(SEARCH(("ene"),(P6))))</formula>
    </cfRule>
  </conditionalFormatting>
  <conditionalFormatting sqref="P8:CW8">
    <cfRule type="cellIs" dxfId="41" priority="38" operator="equal">
      <formula>"Fest"</formula>
    </cfRule>
  </conditionalFormatting>
  <conditionalFormatting sqref="P8:CW8">
    <cfRule type="cellIs" dxfId="40" priority="39" operator="equal">
      <formula>"Rec"</formula>
    </cfRule>
  </conditionalFormatting>
  <conditionalFormatting sqref="P8:CW8">
    <cfRule type="cellIs" dxfId="39" priority="40" operator="equal">
      <formula>"S.S."</formula>
    </cfRule>
  </conditionalFormatting>
  <conditionalFormatting sqref="P9:CW43">
    <cfRule type="cellIs" dxfId="38" priority="44" operator="equal">
      <formula>"LIC"</formula>
    </cfRule>
  </conditionalFormatting>
  <conditionalFormatting sqref="CX7 CZ7 DB7 DD7 DF7 DH7 DJ7 DL7 DN7 DP7 DR7 DT7">
    <cfRule type="containsText" dxfId="37" priority="49" operator="containsText" text="dic">
      <formula>NOT(ISERROR(SEARCH(("dic"),(CX7))))</formula>
    </cfRule>
  </conditionalFormatting>
  <conditionalFormatting sqref="CX7 CZ7 DB7 DD7 DF7 DH7 DJ7 DL7 DN7 DP7 DR7 DT7">
    <cfRule type="containsText" dxfId="36" priority="50" operator="containsText" text="oct">
      <formula>NOT(ISERROR(SEARCH(("oct"),(CX7))))</formula>
    </cfRule>
  </conditionalFormatting>
  <conditionalFormatting sqref="CX7 CZ7 DB7 DD7 DF7 DH7 DJ7 DL7 DN7 DP7 DR7 DT7">
    <cfRule type="containsText" dxfId="35" priority="51" operator="containsText" text="ago">
      <formula>NOT(ISERROR(SEARCH(("ago"),(CX7))))</formula>
    </cfRule>
  </conditionalFormatting>
  <conditionalFormatting sqref="CX7 CZ7 DB7 DD7 DF7 DH7 DJ7 DL7 DN7 DP7 DR7 DT7">
    <cfRule type="containsText" dxfId="34" priority="52" operator="containsText" text="jun">
      <formula>NOT(ISERROR(SEARCH(("jun"),(CX7))))</formula>
    </cfRule>
  </conditionalFormatting>
  <conditionalFormatting sqref="CX7 CZ7 DB7 DD7 DF7 DH7 DJ7 DL7 DN7 DP7 DR7 DT7">
    <cfRule type="containsText" dxfId="33" priority="53" operator="containsText" text="abr">
      <formula>NOT(ISERROR(SEARCH(("abr"),(CX7))))</formula>
    </cfRule>
  </conditionalFormatting>
  <conditionalFormatting sqref="CX7 CZ7 DB7 DD7 DF7 DH7 DJ7 DL7 DN7 DP7 DR7 DT7">
    <cfRule type="containsText" dxfId="32" priority="54" operator="containsText" text="feb">
      <formula>NOT(ISERROR(SEARCH(("feb"),(CX7))))</formula>
    </cfRule>
  </conditionalFormatting>
  <conditionalFormatting sqref="CX7 CZ7 DB7 DD7 DF7 DH7 DJ7 DL7 DN7 DP7 DR7 DT7">
    <cfRule type="containsText" dxfId="31" priority="55" operator="containsText" text="jul">
      <formula>NOT(ISERROR(SEARCH(("jul"),(CX7))))</formula>
    </cfRule>
  </conditionalFormatting>
  <conditionalFormatting sqref="CX7 CZ7 DB7 DD7 DF7 DH7 DJ7 DL7 DN7 DP7 DR7 DT7">
    <cfRule type="containsText" dxfId="30" priority="56" operator="containsText" text="nov">
      <formula>NOT(ISERROR(SEARCH(("nov"),(CX7))))</formula>
    </cfRule>
  </conditionalFormatting>
  <conditionalFormatting sqref="CX7 CZ7 DB7 DD7 DF7 DH7 DJ7 DL7 DN7 DP7 DR7 DT7">
    <cfRule type="containsText" dxfId="29" priority="57" operator="containsText" text="sep">
      <formula>NOT(ISERROR(SEARCH(("sep"),(CX7))))</formula>
    </cfRule>
  </conditionalFormatting>
  <conditionalFormatting sqref="CX7 CZ7 DB7 DD7 DF7 DH7 DJ7 DL7 DN7 DP7 DR7 DT7">
    <cfRule type="containsText" dxfId="28" priority="58" operator="containsText" text="may">
      <formula>NOT(ISERROR(SEARCH(("may"),(CX7))))</formula>
    </cfRule>
  </conditionalFormatting>
  <conditionalFormatting sqref="CX7 CZ7 DB7 DD7 DF7 DH7 DJ7 DL7 DN7 DP7 DR7 DT7">
    <cfRule type="containsText" dxfId="27" priority="59" operator="containsText" text="mar">
      <formula>NOT(ISERROR(SEARCH(("mar"),(CX7))))</formula>
    </cfRule>
  </conditionalFormatting>
  <conditionalFormatting sqref="CX7 CZ7 DB7 DD7 DF7 DH7 DJ7 DL7 DN7 DP7 DR7 DT7">
    <cfRule type="containsText" dxfId="26" priority="60" operator="containsText" text="ene">
      <formula>NOT(ISERROR(SEARCH(("ene"),(CX7))))</formula>
    </cfRule>
  </conditionalFormatting>
  <conditionalFormatting sqref="CX8:DU8">
    <cfRule type="cellIs" dxfId="25" priority="61" operator="equal">
      <formula>"INC"</formula>
    </cfRule>
  </conditionalFormatting>
  <conditionalFormatting sqref="CX8:DU8">
    <cfRule type="cellIs" dxfId="24" priority="62" operator="equal">
      <formula>"CNC"</formula>
    </cfRule>
  </conditionalFormatting>
  <conditionalFormatting sqref="CX8:DU8">
    <cfRule type="cellIs" dxfId="23" priority="63" operator="equal">
      <formula>"SE"</formula>
    </cfRule>
  </conditionalFormatting>
  <conditionalFormatting sqref="CX8:DU8">
    <cfRule type="cellIs" dxfId="22" priority="64" operator="equal">
      <formula>"CE"</formula>
    </cfRule>
  </conditionalFormatting>
  <conditionalFormatting sqref="CX8:DU8">
    <cfRule type="cellIs" dxfId="21" priority="65" operator="equal">
      <formula>"A"</formula>
    </cfRule>
  </conditionalFormatting>
  <conditionalFormatting sqref="CX9:DW51">
    <cfRule type="cellIs" dxfId="20" priority="66" operator="equal">
      <formula>0</formula>
    </cfRule>
  </conditionalFormatting>
  <conditionalFormatting sqref="CY4 DJ4">
    <cfRule type="cellIs" dxfId="19" priority="67" operator="equal">
      <formula>"A"</formula>
    </cfRule>
  </conditionalFormatting>
  <conditionalFormatting sqref="CY4 DJ4">
    <cfRule type="cellIs" dxfId="18" priority="68" operator="equal">
      <formula>"INC"</formula>
    </cfRule>
  </conditionalFormatting>
  <conditionalFormatting sqref="CY4 DJ4">
    <cfRule type="cellIs" dxfId="17" priority="69" operator="equal">
      <formula>"CNC"</formula>
    </cfRule>
  </conditionalFormatting>
  <conditionalFormatting sqref="CY4 DJ4">
    <cfRule type="cellIs" dxfId="16" priority="70" operator="equal">
      <formula>"SE"</formula>
    </cfRule>
  </conditionalFormatting>
  <conditionalFormatting sqref="CY4 DJ4">
    <cfRule type="cellIs" dxfId="15" priority="71" operator="equal">
      <formula>"CE"</formula>
    </cfRule>
  </conditionalFormatting>
  <conditionalFormatting sqref="DV8:DW8">
    <cfRule type="cellIs" dxfId="14" priority="72" operator="equal">
      <formula>0</formula>
    </cfRule>
  </conditionalFormatting>
  <dataValidations count="3">
    <dataValidation type="list" allowBlank="1" showErrorMessage="1" sqref="CX8:DU8 P9:CW43" xr:uid="{00000000-0002-0000-0000-000000000000}">
      <formula1>$G$8:$N$8</formula1>
    </dataValidation>
    <dataValidation type="list" allowBlank="1" showErrorMessage="1" sqref="DY22" xr:uid="{00000000-0002-0000-0000-000001000000}">
      <formula1>$DY$9:$DY$19</formula1>
    </dataValidation>
    <dataValidation type="list" allowBlank="1" showErrorMessage="1" sqref="E9:E43" xr:uid="{00000000-0002-0000-0000-000002000000}">
      <formula1>"EN FORMACIÓN,RETIRADO,NO MATRICULADO"</formula1>
    </dataValidation>
  </dataValidations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C11" sqref="C11"/>
    </sheetView>
  </sheetViews>
  <sheetFormatPr baseColWidth="10" defaultColWidth="11.25" defaultRowHeight="15" customHeight="1"/>
  <cols>
    <col min="1" max="1" width="5" customWidth="1"/>
    <col min="2" max="2" width="38.625" customWidth="1"/>
    <col min="3" max="3" width="17.75" customWidth="1"/>
    <col min="4" max="4" width="26.25" customWidth="1"/>
    <col min="5" max="5" width="30.75" customWidth="1"/>
    <col min="6" max="6" width="43.25" customWidth="1"/>
    <col min="7" max="7" width="18.625" customWidth="1"/>
    <col min="8" max="8" width="32.5" customWidth="1"/>
    <col min="9" max="9" width="34.75" customWidth="1"/>
    <col min="10" max="10" width="19.625" customWidth="1"/>
    <col min="11" max="11" width="75.625" customWidth="1"/>
    <col min="12" max="26" width="12.625" customWidth="1"/>
  </cols>
  <sheetData>
    <row r="1" spans="1:26" ht="14.25" customHeight="1">
      <c r="A1" s="182">
        <v>0</v>
      </c>
      <c r="B1" s="116"/>
      <c r="C1" s="116"/>
      <c r="D1" s="116"/>
      <c r="E1" s="116"/>
      <c r="F1" s="116"/>
      <c r="G1" s="116"/>
      <c r="H1" s="116"/>
      <c r="I1" s="116"/>
      <c r="J1" s="102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5.75">
      <c r="A2" s="116"/>
      <c r="B2" s="116"/>
      <c r="C2" s="116"/>
      <c r="D2" s="116"/>
      <c r="E2" s="116"/>
      <c r="F2" s="116"/>
      <c r="G2" s="116"/>
      <c r="H2" s="116"/>
      <c r="I2" s="116"/>
      <c r="J2" s="102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.75">
      <c r="A3" s="170" t="s">
        <v>5</v>
      </c>
      <c r="B3" s="146"/>
      <c r="C3" s="183" t="s">
        <v>59</v>
      </c>
      <c r="D3" s="96"/>
      <c r="E3" s="146"/>
      <c r="F3" s="49"/>
      <c r="G3" s="49"/>
      <c r="H3" s="50"/>
      <c r="I3" s="50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.75">
      <c r="A4" s="170" t="s">
        <v>16</v>
      </c>
      <c r="B4" s="146"/>
      <c r="C4" s="184">
        <v>3458742</v>
      </c>
      <c r="D4" s="185"/>
      <c r="E4" s="186"/>
      <c r="F4" s="51" t="s">
        <v>67</v>
      </c>
      <c r="G4" s="52">
        <v>2</v>
      </c>
      <c r="H4" s="50" t="s">
        <v>68</v>
      </c>
      <c r="I4" s="50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.75">
      <c r="A5" s="170" t="s">
        <v>8</v>
      </c>
      <c r="B5" s="146"/>
      <c r="C5" s="179" t="s">
        <v>97</v>
      </c>
      <c r="D5" s="180"/>
      <c r="E5" s="181"/>
      <c r="F5" s="51" t="s">
        <v>69</v>
      </c>
      <c r="G5" s="53">
        <v>46101</v>
      </c>
      <c r="H5" s="50"/>
      <c r="I5" s="50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.75">
      <c r="A6" s="170" t="s">
        <v>70</v>
      </c>
      <c r="B6" s="146"/>
      <c r="C6" s="171" t="s">
        <v>98</v>
      </c>
      <c r="D6" s="172"/>
      <c r="E6" s="173"/>
      <c r="F6" s="51" t="s">
        <v>71</v>
      </c>
      <c r="G6" s="54">
        <v>46102</v>
      </c>
      <c r="H6" s="50"/>
      <c r="I6" s="50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.75">
      <c r="A7" s="170" t="s">
        <v>15</v>
      </c>
      <c r="B7" s="146"/>
      <c r="C7" s="174" t="s">
        <v>99</v>
      </c>
      <c r="D7" s="175"/>
      <c r="E7" s="176"/>
      <c r="F7" s="55" t="s">
        <v>72</v>
      </c>
      <c r="G7" s="56">
        <v>10</v>
      </c>
      <c r="H7" s="50"/>
      <c r="I7" s="5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.75">
      <c r="A8" s="177" t="s">
        <v>73</v>
      </c>
      <c r="B8" s="146"/>
      <c r="C8" s="178" t="s">
        <v>100</v>
      </c>
      <c r="D8" s="96"/>
      <c r="E8" s="96"/>
      <c r="F8" s="96"/>
      <c r="G8" s="146"/>
      <c r="H8" s="50"/>
      <c r="I8" s="5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22.5" customHeight="1">
      <c r="A9" s="57" t="s">
        <v>34</v>
      </c>
      <c r="B9" s="58" t="s">
        <v>93</v>
      </c>
      <c r="C9" s="58" t="s">
        <v>96</v>
      </c>
      <c r="D9" s="58" t="s">
        <v>74</v>
      </c>
      <c r="E9" s="58" t="s">
        <v>75</v>
      </c>
      <c r="F9" s="58" t="s">
        <v>76</v>
      </c>
      <c r="G9" s="58" t="s">
        <v>77</v>
      </c>
      <c r="H9" s="58" t="s">
        <v>78</v>
      </c>
      <c r="I9" s="58" t="s">
        <v>94</v>
      </c>
      <c r="J9" s="58" t="s">
        <v>79</v>
      </c>
      <c r="K9" s="58" t="s">
        <v>95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.75" customHeight="1">
      <c r="A10" s="77">
        <v>1</v>
      </c>
      <c r="B10" s="84" t="s">
        <v>101</v>
      </c>
      <c r="C10" s="85" t="s">
        <v>92</v>
      </c>
      <c r="D10" s="84">
        <v>1145225853</v>
      </c>
      <c r="E10" s="86"/>
      <c r="F10" s="86" t="s">
        <v>102</v>
      </c>
      <c r="G10" s="84">
        <v>3122987449</v>
      </c>
      <c r="H10" s="84" t="s">
        <v>103</v>
      </c>
      <c r="I10" s="86" t="s">
        <v>104</v>
      </c>
      <c r="J10" s="84">
        <v>3214591164</v>
      </c>
      <c r="K10" s="86" t="s">
        <v>105</v>
      </c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.75" customHeight="1">
      <c r="A11" s="77">
        <f t="shared" ref="A11:A45" si="0">A10+1</f>
        <v>2</v>
      </c>
      <c r="B11" s="87" t="s">
        <v>106</v>
      </c>
      <c r="C11" s="88" t="s">
        <v>92</v>
      </c>
      <c r="D11" s="87">
        <v>1145225854</v>
      </c>
      <c r="E11" s="89"/>
      <c r="F11" s="89" t="s">
        <v>107</v>
      </c>
      <c r="G11" s="87">
        <v>3214127416</v>
      </c>
      <c r="H11" s="87" t="s">
        <v>103</v>
      </c>
      <c r="I11" s="89" t="s">
        <v>104</v>
      </c>
      <c r="J11" s="87">
        <v>3214591164</v>
      </c>
      <c r="K11" s="89" t="s">
        <v>108</v>
      </c>
      <c r="L11" s="48"/>
      <c r="M11" s="48" t="s">
        <v>286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.75" customHeight="1">
      <c r="A12" s="77">
        <f t="shared" si="0"/>
        <v>3</v>
      </c>
      <c r="B12" s="84" t="s">
        <v>109</v>
      </c>
      <c r="C12" s="85" t="s">
        <v>92</v>
      </c>
      <c r="D12" s="84">
        <v>1019068647</v>
      </c>
      <c r="E12" s="86"/>
      <c r="F12" s="86" t="s">
        <v>110</v>
      </c>
      <c r="G12" s="84">
        <v>3118627706</v>
      </c>
      <c r="H12" s="84" t="s">
        <v>111</v>
      </c>
      <c r="I12" s="86" t="s">
        <v>112</v>
      </c>
      <c r="J12" s="84">
        <v>3244956518</v>
      </c>
      <c r="K12" s="86" t="s">
        <v>113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.75" customHeight="1">
      <c r="A13" s="77">
        <f t="shared" si="0"/>
        <v>4</v>
      </c>
      <c r="B13" s="87" t="s">
        <v>114</v>
      </c>
      <c r="C13" s="88" t="s">
        <v>92</v>
      </c>
      <c r="D13" s="87">
        <v>1015437646</v>
      </c>
      <c r="E13" s="89"/>
      <c r="F13" s="89" t="s">
        <v>115</v>
      </c>
      <c r="G13" s="87">
        <v>3219658075</v>
      </c>
      <c r="H13" s="87" t="s">
        <v>116</v>
      </c>
      <c r="I13" s="89" t="s">
        <v>117</v>
      </c>
      <c r="J13" s="87">
        <v>3112776462</v>
      </c>
      <c r="K13" s="89" t="s">
        <v>118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.75" customHeight="1">
      <c r="A14" s="77">
        <f t="shared" si="0"/>
        <v>5</v>
      </c>
      <c r="B14" s="84" t="s">
        <v>119</v>
      </c>
      <c r="C14" s="85" t="s">
        <v>92</v>
      </c>
      <c r="D14" s="84">
        <v>1141123667</v>
      </c>
      <c r="E14" s="86"/>
      <c r="F14" s="86" t="s">
        <v>120</v>
      </c>
      <c r="G14" s="84">
        <v>3134883535</v>
      </c>
      <c r="H14" s="84" t="s">
        <v>121</v>
      </c>
      <c r="I14" s="86" t="s">
        <v>122</v>
      </c>
      <c r="J14" s="84">
        <v>3219273385</v>
      </c>
      <c r="K14" s="86" t="s">
        <v>123</v>
      </c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22.5" customHeight="1">
      <c r="A15" s="77">
        <f t="shared" si="0"/>
        <v>6</v>
      </c>
      <c r="B15" s="87" t="s">
        <v>124</v>
      </c>
      <c r="C15" s="88" t="s">
        <v>125</v>
      </c>
      <c r="D15" s="87">
        <v>1014206476</v>
      </c>
      <c r="E15" s="89"/>
      <c r="F15" s="89" t="s">
        <v>126</v>
      </c>
      <c r="G15" s="87">
        <v>3012776831</v>
      </c>
      <c r="H15" s="87" t="s">
        <v>127</v>
      </c>
      <c r="I15" s="89" t="s">
        <v>128</v>
      </c>
      <c r="J15" s="87">
        <v>3012699148</v>
      </c>
      <c r="K15" s="89" t="s">
        <v>129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.75" customHeight="1">
      <c r="A16" s="77">
        <f t="shared" si="0"/>
        <v>7</v>
      </c>
      <c r="B16" s="84" t="s">
        <v>130</v>
      </c>
      <c r="C16" s="85" t="s">
        <v>92</v>
      </c>
      <c r="D16" s="84">
        <v>1141120978</v>
      </c>
      <c r="E16" s="86"/>
      <c r="F16" s="86" t="s">
        <v>131</v>
      </c>
      <c r="G16" s="84">
        <v>3193860120</v>
      </c>
      <c r="H16" s="84" t="s">
        <v>132</v>
      </c>
      <c r="I16" s="86" t="s">
        <v>133</v>
      </c>
      <c r="J16" s="84">
        <v>3138165624</v>
      </c>
      <c r="K16" s="86" t="s">
        <v>134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.75" customHeight="1">
      <c r="A17" s="77">
        <f t="shared" si="0"/>
        <v>8</v>
      </c>
      <c r="B17" s="87" t="s">
        <v>135</v>
      </c>
      <c r="C17" s="88" t="s">
        <v>92</v>
      </c>
      <c r="D17" s="87">
        <v>1028493847</v>
      </c>
      <c r="E17" s="89"/>
      <c r="F17" s="89" t="s">
        <v>136</v>
      </c>
      <c r="G17" s="87">
        <v>3143693010</v>
      </c>
      <c r="H17" s="87" t="s">
        <v>137</v>
      </c>
      <c r="I17" s="89" t="s">
        <v>138</v>
      </c>
      <c r="J17" s="87">
        <v>3102683294</v>
      </c>
      <c r="K17" s="89" t="s">
        <v>139</v>
      </c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5.75" customHeight="1">
      <c r="A18" s="77">
        <f t="shared" si="0"/>
        <v>9</v>
      </c>
      <c r="B18" s="84" t="s">
        <v>140</v>
      </c>
      <c r="C18" s="85" t="s">
        <v>92</v>
      </c>
      <c r="D18" s="84">
        <v>1031825573</v>
      </c>
      <c r="E18" s="86"/>
      <c r="F18" s="86" t="s">
        <v>141</v>
      </c>
      <c r="G18" s="84">
        <v>3228981740</v>
      </c>
      <c r="H18" s="84" t="s">
        <v>142</v>
      </c>
      <c r="I18" s="86" t="s">
        <v>141</v>
      </c>
      <c r="J18" s="84">
        <v>3227484121</v>
      </c>
      <c r="K18" s="86" t="s">
        <v>143</v>
      </c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.75" customHeight="1">
      <c r="A19" s="77">
        <f t="shared" si="0"/>
        <v>10</v>
      </c>
      <c r="B19" s="87" t="s">
        <v>144</v>
      </c>
      <c r="C19" s="88" t="s">
        <v>92</v>
      </c>
      <c r="D19" s="87">
        <v>1145927122</v>
      </c>
      <c r="E19" s="89"/>
      <c r="F19" s="89" t="s">
        <v>145</v>
      </c>
      <c r="G19" s="87">
        <v>3219741619</v>
      </c>
      <c r="H19" s="87" t="s">
        <v>146</v>
      </c>
      <c r="I19" s="89" t="s">
        <v>147</v>
      </c>
      <c r="J19" s="87">
        <v>3014904232</v>
      </c>
      <c r="K19" s="89" t="s">
        <v>148</v>
      </c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.75" customHeight="1">
      <c r="A20" s="77">
        <f t="shared" si="0"/>
        <v>11</v>
      </c>
      <c r="B20" s="84" t="s">
        <v>149</v>
      </c>
      <c r="C20" s="85" t="s">
        <v>92</v>
      </c>
      <c r="D20" s="84">
        <v>1141123455</v>
      </c>
      <c r="E20" s="86"/>
      <c r="F20" s="86" t="s">
        <v>150</v>
      </c>
      <c r="G20" s="84">
        <v>3212390849</v>
      </c>
      <c r="H20" s="84" t="s">
        <v>151</v>
      </c>
      <c r="I20" s="86" t="s">
        <v>152</v>
      </c>
      <c r="J20" s="84">
        <v>3142678128</v>
      </c>
      <c r="K20" s="86" t="s">
        <v>153</v>
      </c>
      <c r="L20" s="48"/>
      <c r="M20" s="48" t="s">
        <v>289</v>
      </c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 customHeight="1">
      <c r="A21" s="77">
        <f t="shared" si="0"/>
        <v>12</v>
      </c>
      <c r="B21" s="87" t="s">
        <v>154</v>
      </c>
      <c r="C21" s="88" t="s">
        <v>92</v>
      </c>
      <c r="D21" s="87">
        <v>1072990502</v>
      </c>
      <c r="E21" s="89"/>
      <c r="F21" s="89" t="s">
        <v>155</v>
      </c>
      <c r="G21" s="87">
        <v>3204845703</v>
      </c>
      <c r="H21" s="87" t="s">
        <v>156</v>
      </c>
      <c r="I21" s="89" t="s">
        <v>157</v>
      </c>
      <c r="J21" s="87">
        <v>3108793726</v>
      </c>
      <c r="K21" s="89" t="s">
        <v>158</v>
      </c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.75" customHeight="1">
      <c r="A22" s="77">
        <f t="shared" si="0"/>
        <v>13</v>
      </c>
      <c r="B22" s="84" t="s">
        <v>159</v>
      </c>
      <c r="C22" s="85" t="s">
        <v>92</v>
      </c>
      <c r="D22" s="84">
        <v>1141121806</v>
      </c>
      <c r="E22" s="86"/>
      <c r="F22" s="86" t="s">
        <v>160</v>
      </c>
      <c r="G22" s="84">
        <v>3204935064</v>
      </c>
      <c r="H22" s="84" t="s">
        <v>161</v>
      </c>
      <c r="I22" s="86" t="s">
        <v>162</v>
      </c>
      <c r="J22" s="84">
        <v>3115093949</v>
      </c>
      <c r="K22" s="86" t="s">
        <v>163</v>
      </c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 customHeight="1">
      <c r="A23" s="77">
        <f t="shared" si="0"/>
        <v>14</v>
      </c>
      <c r="B23" s="87" t="s">
        <v>164</v>
      </c>
      <c r="C23" s="88" t="s">
        <v>92</v>
      </c>
      <c r="D23" s="87">
        <v>1141121807</v>
      </c>
      <c r="E23" s="89"/>
      <c r="F23" s="89" t="s">
        <v>165</v>
      </c>
      <c r="G23" s="87">
        <v>3219922810</v>
      </c>
      <c r="H23" s="87" t="s">
        <v>166</v>
      </c>
      <c r="I23" s="89" t="s">
        <v>167</v>
      </c>
      <c r="J23" s="87">
        <v>3115093949</v>
      </c>
      <c r="K23" s="89" t="s">
        <v>168</v>
      </c>
      <c r="L23" s="48"/>
      <c r="M23" s="48"/>
      <c r="N23" s="48"/>
      <c r="O23" s="48"/>
      <c r="P23" s="48"/>
      <c r="Q23" s="48" t="s">
        <v>288</v>
      </c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 customHeight="1">
      <c r="A24" s="77">
        <f t="shared" si="0"/>
        <v>15</v>
      </c>
      <c r="B24" s="84" t="s">
        <v>169</v>
      </c>
      <c r="C24" s="85" t="s">
        <v>92</v>
      </c>
      <c r="D24" s="84">
        <v>1016043063</v>
      </c>
      <c r="E24" s="86"/>
      <c r="F24" s="86" t="s">
        <v>170</v>
      </c>
      <c r="G24" s="84">
        <v>3159789153</v>
      </c>
      <c r="H24" s="84" t="s">
        <v>171</v>
      </c>
      <c r="I24" s="86" t="s">
        <v>170</v>
      </c>
      <c r="J24" s="84">
        <v>3171211281</v>
      </c>
      <c r="K24" s="86" t="s">
        <v>172</v>
      </c>
      <c r="L24" s="48"/>
      <c r="M24" s="48" t="s">
        <v>287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 customHeight="1">
      <c r="A25" s="77">
        <f t="shared" si="0"/>
        <v>16</v>
      </c>
      <c r="B25" s="87" t="s">
        <v>173</v>
      </c>
      <c r="C25" s="88" t="s">
        <v>92</v>
      </c>
      <c r="D25" s="87">
        <v>1016033641</v>
      </c>
      <c r="E25" s="89"/>
      <c r="F25" s="89" t="s">
        <v>174</v>
      </c>
      <c r="G25" s="87">
        <v>3223692079</v>
      </c>
      <c r="H25" s="87" t="s">
        <v>175</v>
      </c>
      <c r="I25" s="89" t="s">
        <v>176</v>
      </c>
      <c r="J25" s="87">
        <v>3134082226</v>
      </c>
      <c r="K25" s="89" t="s">
        <v>177</v>
      </c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.75" customHeight="1">
      <c r="A26" s="77">
        <f t="shared" si="0"/>
        <v>17</v>
      </c>
      <c r="B26" s="84" t="s">
        <v>178</v>
      </c>
      <c r="C26" s="85" t="s">
        <v>92</v>
      </c>
      <c r="D26" s="84">
        <v>1028888399</v>
      </c>
      <c r="E26" s="86"/>
      <c r="F26" s="86" t="s">
        <v>179</v>
      </c>
      <c r="G26" s="84">
        <v>3228100232</v>
      </c>
      <c r="H26" s="84" t="s">
        <v>180</v>
      </c>
      <c r="I26" s="86" t="s">
        <v>181</v>
      </c>
      <c r="J26" s="84">
        <v>3169263822</v>
      </c>
      <c r="K26" s="86" t="s">
        <v>182</v>
      </c>
      <c r="L26" s="48"/>
      <c r="M26" s="48" t="s">
        <v>286</v>
      </c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.75" customHeight="1">
      <c r="A27" s="77">
        <f t="shared" si="0"/>
        <v>18</v>
      </c>
      <c r="B27" s="87" t="s">
        <v>183</v>
      </c>
      <c r="C27" s="88" t="s">
        <v>92</v>
      </c>
      <c r="D27" s="87">
        <v>1016956103</v>
      </c>
      <c r="E27" s="89"/>
      <c r="F27" s="89" t="s">
        <v>184</v>
      </c>
      <c r="G27" s="87">
        <v>3204962979</v>
      </c>
      <c r="H27" s="87" t="s">
        <v>185</v>
      </c>
      <c r="I27" s="89" t="s">
        <v>186</v>
      </c>
      <c r="J27" s="87">
        <v>3144845401</v>
      </c>
      <c r="K27" s="89" t="s">
        <v>187</v>
      </c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5.75" customHeight="1">
      <c r="A28" s="77">
        <f t="shared" si="0"/>
        <v>19</v>
      </c>
      <c r="B28" s="84" t="s">
        <v>188</v>
      </c>
      <c r="C28" s="85" t="s">
        <v>92</v>
      </c>
      <c r="D28" s="84">
        <v>1141125073</v>
      </c>
      <c r="E28" s="86"/>
      <c r="F28" s="86" t="s">
        <v>189</v>
      </c>
      <c r="G28" s="84">
        <v>3246343302</v>
      </c>
      <c r="H28" s="84" t="s">
        <v>190</v>
      </c>
      <c r="I28" s="86" t="s">
        <v>191</v>
      </c>
      <c r="J28" s="84">
        <v>3123932302</v>
      </c>
      <c r="K28" s="86" t="s">
        <v>192</v>
      </c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 customHeight="1">
      <c r="A29" s="77">
        <f t="shared" si="0"/>
        <v>20</v>
      </c>
      <c r="B29" s="87" t="s">
        <v>193</v>
      </c>
      <c r="C29" s="88" t="s">
        <v>92</v>
      </c>
      <c r="D29" s="87">
        <v>1028944741</v>
      </c>
      <c r="E29" s="89"/>
      <c r="F29" s="89" t="s">
        <v>194</v>
      </c>
      <c r="G29" s="87">
        <v>3249400317</v>
      </c>
      <c r="H29" s="87" t="s">
        <v>195</v>
      </c>
      <c r="I29" s="89" t="s">
        <v>196</v>
      </c>
      <c r="J29" s="87">
        <v>3229630361</v>
      </c>
      <c r="K29" s="89" t="s">
        <v>197</v>
      </c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 customHeight="1">
      <c r="A30" s="77">
        <f t="shared" si="0"/>
        <v>21</v>
      </c>
      <c r="B30" s="84" t="s">
        <v>198</v>
      </c>
      <c r="C30" s="85" t="s">
        <v>92</v>
      </c>
      <c r="D30" s="84">
        <v>1016955950</v>
      </c>
      <c r="E30" s="86"/>
      <c r="F30" s="86" t="s">
        <v>199</v>
      </c>
      <c r="G30" s="84">
        <v>3124387321</v>
      </c>
      <c r="H30" s="84" t="s">
        <v>200</v>
      </c>
      <c r="I30" s="86" t="s">
        <v>201</v>
      </c>
      <c r="J30" s="84">
        <v>3107937846</v>
      </c>
      <c r="K30" s="86" t="s">
        <v>202</v>
      </c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5.75" customHeight="1">
      <c r="A31" s="77">
        <f t="shared" si="0"/>
        <v>22</v>
      </c>
      <c r="B31" s="87" t="s">
        <v>203</v>
      </c>
      <c r="C31" s="88" t="s">
        <v>92</v>
      </c>
      <c r="D31" s="87">
        <v>1013648077</v>
      </c>
      <c r="E31" s="89"/>
      <c r="F31" s="89" t="s">
        <v>204</v>
      </c>
      <c r="G31" s="87">
        <v>3052031244</v>
      </c>
      <c r="H31" s="87" t="s">
        <v>205</v>
      </c>
      <c r="I31" s="89" t="s">
        <v>206</v>
      </c>
      <c r="J31" s="87">
        <v>3144924776</v>
      </c>
      <c r="K31" s="89" t="s">
        <v>207</v>
      </c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.75" customHeight="1">
      <c r="A32" s="77">
        <f t="shared" si="0"/>
        <v>23</v>
      </c>
      <c r="B32" s="84" t="s">
        <v>208</v>
      </c>
      <c r="C32" s="85" t="s">
        <v>92</v>
      </c>
      <c r="D32" s="84">
        <v>1070393748</v>
      </c>
      <c r="E32" s="86"/>
      <c r="F32" s="86" t="s">
        <v>209</v>
      </c>
      <c r="G32" s="84">
        <v>3226834395</v>
      </c>
      <c r="H32" s="84" t="s">
        <v>210</v>
      </c>
      <c r="I32" s="86" t="s">
        <v>211</v>
      </c>
      <c r="J32" s="84">
        <v>3153966851</v>
      </c>
      <c r="K32" s="86" t="s">
        <v>212</v>
      </c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>
      <c r="A33" s="77">
        <f t="shared" si="0"/>
        <v>24</v>
      </c>
      <c r="B33" s="87" t="s">
        <v>213</v>
      </c>
      <c r="C33" s="88" t="s">
        <v>125</v>
      </c>
      <c r="D33" s="87">
        <v>1016953617</v>
      </c>
      <c r="E33" s="89"/>
      <c r="F33" s="89" t="s">
        <v>214</v>
      </c>
      <c r="G33" s="87">
        <v>3215875958</v>
      </c>
      <c r="H33" s="87" t="s">
        <v>215</v>
      </c>
      <c r="I33" s="89" t="s">
        <v>216</v>
      </c>
      <c r="J33" s="87">
        <v>3117650209</v>
      </c>
      <c r="K33" s="89" t="s">
        <v>217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>
      <c r="A34" s="77">
        <f t="shared" si="0"/>
        <v>25</v>
      </c>
      <c r="B34" s="84" t="s">
        <v>218</v>
      </c>
      <c r="C34" s="85" t="s">
        <v>92</v>
      </c>
      <c r="D34" s="84">
        <v>1030580520</v>
      </c>
      <c r="E34" s="86"/>
      <c r="F34" s="86" t="s">
        <v>219</v>
      </c>
      <c r="G34" s="84">
        <v>3112167570</v>
      </c>
      <c r="H34" s="84" t="s">
        <v>220</v>
      </c>
      <c r="I34" s="86" t="s">
        <v>221</v>
      </c>
      <c r="J34" s="84">
        <v>3104862895</v>
      </c>
      <c r="K34" s="86" t="s">
        <v>222</v>
      </c>
      <c r="L34" s="48"/>
      <c r="M34" s="48" t="s">
        <v>286</v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 customHeight="1">
      <c r="A35" s="77">
        <f t="shared" si="0"/>
        <v>26</v>
      </c>
      <c r="B35" s="87" t="s">
        <v>223</v>
      </c>
      <c r="C35" s="88" t="s">
        <v>92</v>
      </c>
      <c r="D35" s="87">
        <v>1014877985</v>
      </c>
      <c r="E35" s="89"/>
      <c r="F35" s="89" t="s">
        <v>224</v>
      </c>
      <c r="G35" s="87">
        <v>3223439173</v>
      </c>
      <c r="H35" s="87" t="s">
        <v>225</v>
      </c>
      <c r="I35" s="89"/>
      <c r="J35" s="87">
        <v>3142202285</v>
      </c>
      <c r="K35" s="89" t="s">
        <v>226</v>
      </c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 customHeight="1">
      <c r="A36" s="77">
        <f t="shared" si="0"/>
        <v>27</v>
      </c>
      <c r="B36" s="84" t="s">
        <v>227</v>
      </c>
      <c r="C36" s="85" t="s">
        <v>92</v>
      </c>
      <c r="D36" s="84">
        <v>1141718299</v>
      </c>
      <c r="E36" s="86"/>
      <c r="F36" s="86" t="s">
        <v>228</v>
      </c>
      <c r="G36" s="84">
        <v>3505962031</v>
      </c>
      <c r="H36" s="84" t="s">
        <v>229</v>
      </c>
      <c r="I36" s="86" t="s">
        <v>230</v>
      </c>
      <c r="J36" s="84">
        <v>3118784119</v>
      </c>
      <c r="K36" s="86" t="s">
        <v>231</v>
      </c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 customHeight="1">
      <c r="A37" s="77">
        <f t="shared" si="0"/>
        <v>28</v>
      </c>
      <c r="B37" s="87" t="s">
        <v>232</v>
      </c>
      <c r="C37" s="88" t="s">
        <v>125</v>
      </c>
      <c r="D37" s="87">
        <v>1016950671</v>
      </c>
      <c r="E37" s="89"/>
      <c r="F37" s="89" t="s">
        <v>233</v>
      </c>
      <c r="G37" s="87">
        <v>3012119395</v>
      </c>
      <c r="H37" s="87" t="s">
        <v>234</v>
      </c>
      <c r="I37" s="89" t="s">
        <v>235</v>
      </c>
      <c r="J37" s="87">
        <v>3144034180</v>
      </c>
      <c r="K37" s="89" t="s">
        <v>236</v>
      </c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>
      <c r="A38" s="77">
        <f t="shared" si="0"/>
        <v>29</v>
      </c>
      <c r="B38" s="84" t="s">
        <v>237</v>
      </c>
      <c r="C38" s="85" t="s">
        <v>92</v>
      </c>
      <c r="D38" s="84">
        <v>1025147204</v>
      </c>
      <c r="E38" s="86"/>
      <c r="F38" s="86" t="s">
        <v>238</v>
      </c>
      <c r="G38" s="84">
        <v>3134549827</v>
      </c>
      <c r="H38" s="84" t="s">
        <v>239</v>
      </c>
      <c r="I38" s="86" t="s">
        <v>240</v>
      </c>
      <c r="J38" s="84">
        <v>3214467031</v>
      </c>
      <c r="K38" s="86" t="s">
        <v>241</v>
      </c>
      <c r="L38" s="48"/>
      <c r="M38" s="48" t="s">
        <v>285</v>
      </c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 customHeight="1">
      <c r="A39" s="77">
        <f t="shared" si="0"/>
        <v>30</v>
      </c>
      <c r="B39" s="87" t="s">
        <v>242</v>
      </c>
      <c r="C39" s="88" t="s">
        <v>92</v>
      </c>
      <c r="D39" s="87">
        <v>1014236875</v>
      </c>
      <c r="E39" s="89"/>
      <c r="F39" s="89" t="s">
        <v>243</v>
      </c>
      <c r="G39" s="87">
        <v>3118236873</v>
      </c>
      <c r="H39" s="87" t="s">
        <v>244</v>
      </c>
      <c r="I39" s="89" t="s">
        <v>243</v>
      </c>
      <c r="J39" s="87">
        <v>3115512588</v>
      </c>
      <c r="K39" s="89" t="s">
        <v>245</v>
      </c>
      <c r="L39" s="48"/>
      <c r="M39" s="48" t="s">
        <v>284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 customHeight="1">
      <c r="A40" s="77">
        <f t="shared" si="0"/>
        <v>31</v>
      </c>
      <c r="B40" s="84" t="s">
        <v>246</v>
      </c>
      <c r="C40" s="85" t="s">
        <v>92</v>
      </c>
      <c r="D40" s="84">
        <v>1141122555</v>
      </c>
      <c r="E40" s="86"/>
      <c r="F40" s="86" t="s">
        <v>247</v>
      </c>
      <c r="G40" s="84">
        <v>3202525512</v>
      </c>
      <c r="H40" s="84" t="s">
        <v>248</v>
      </c>
      <c r="I40" s="86" t="s">
        <v>249</v>
      </c>
      <c r="J40" s="84">
        <v>3134800188</v>
      </c>
      <c r="K40" s="86" t="s">
        <v>250</v>
      </c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>
      <c r="A41" s="77">
        <f t="shared" si="0"/>
        <v>32</v>
      </c>
      <c r="B41" s="87" t="s">
        <v>251</v>
      </c>
      <c r="C41" s="88" t="s">
        <v>92</v>
      </c>
      <c r="D41" s="87">
        <v>1019766073</v>
      </c>
      <c r="E41" s="89"/>
      <c r="F41" s="89" t="s">
        <v>252</v>
      </c>
      <c r="G41" s="87">
        <v>3005099320</v>
      </c>
      <c r="H41" s="87" t="s">
        <v>253</v>
      </c>
      <c r="I41" s="89" t="s">
        <v>254</v>
      </c>
      <c r="J41" s="87">
        <v>3108173065</v>
      </c>
      <c r="K41" s="89" t="s">
        <v>255</v>
      </c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 customHeight="1">
      <c r="A42" s="77">
        <f t="shared" si="0"/>
        <v>33</v>
      </c>
      <c r="B42" s="84" t="s">
        <v>256</v>
      </c>
      <c r="C42" s="85" t="s">
        <v>92</v>
      </c>
      <c r="D42" s="84">
        <v>1014238500</v>
      </c>
      <c r="E42" s="86"/>
      <c r="F42" s="86" t="s">
        <v>257</v>
      </c>
      <c r="G42" s="84">
        <v>3213759951</v>
      </c>
      <c r="H42" s="84" t="s">
        <v>258</v>
      </c>
      <c r="I42" s="86" t="s">
        <v>259</v>
      </c>
      <c r="J42" s="84">
        <v>3113378282</v>
      </c>
      <c r="K42" s="86" t="s">
        <v>260</v>
      </c>
      <c r="L42" s="48"/>
      <c r="M42" s="48" t="s">
        <v>283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>
      <c r="A43" s="78">
        <f t="shared" si="0"/>
        <v>34</v>
      </c>
      <c r="B43" s="87" t="s">
        <v>261</v>
      </c>
      <c r="C43" s="88" t="s">
        <v>92</v>
      </c>
      <c r="D43" s="87">
        <v>1146126178</v>
      </c>
      <c r="E43" s="89"/>
      <c r="F43" s="89" t="s">
        <v>262</v>
      </c>
      <c r="G43" s="87">
        <v>3187175748</v>
      </c>
      <c r="H43" s="87" t="s">
        <v>263</v>
      </c>
      <c r="I43" s="89" t="s">
        <v>264</v>
      </c>
      <c r="J43" s="87">
        <v>3205935369</v>
      </c>
      <c r="K43" s="89" t="s">
        <v>265</v>
      </c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>
      <c r="A44" s="82">
        <f t="shared" si="0"/>
        <v>35</v>
      </c>
      <c r="B44" s="84" t="s">
        <v>266</v>
      </c>
      <c r="C44" s="85" t="s">
        <v>92</v>
      </c>
      <c r="D44" s="84">
        <v>1052842832</v>
      </c>
      <c r="E44" s="86"/>
      <c r="F44" s="86" t="s">
        <v>267</v>
      </c>
      <c r="G44" s="84">
        <v>3143774905</v>
      </c>
      <c r="H44" s="84" t="s">
        <v>268</v>
      </c>
      <c r="I44" s="86" t="s">
        <v>269</v>
      </c>
      <c r="J44" s="84">
        <v>3223845320</v>
      </c>
      <c r="K44" s="86" t="s">
        <v>270</v>
      </c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 customHeight="1">
      <c r="A45" s="82">
        <f t="shared" si="0"/>
        <v>36</v>
      </c>
      <c r="B45" s="87" t="s">
        <v>271</v>
      </c>
      <c r="C45" s="88"/>
      <c r="D45" s="87">
        <v>1141123709</v>
      </c>
      <c r="E45" s="89"/>
      <c r="F45" s="89"/>
      <c r="G45" s="87"/>
      <c r="H45" s="87"/>
      <c r="I45" s="89"/>
      <c r="J45" s="87"/>
      <c r="K45" s="89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>
      <c r="A46" s="83">
        <v>37</v>
      </c>
      <c r="B46" s="84" t="s">
        <v>272</v>
      </c>
      <c r="C46" s="85" t="s">
        <v>92</v>
      </c>
      <c r="D46" s="84">
        <v>1141123427</v>
      </c>
      <c r="E46" s="86"/>
      <c r="F46" s="86" t="s">
        <v>273</v>
      </c>
      <c r="G46" s="84">
        <v>3009750929</v>
      </c>
      <c r="H46" s="84" t="s">
        <v>274</v>
      </c>
      <c r="I46" s="86" t="s">
        <v>275</v>
      </c>
      <c r="J46" s="84">
        <v>3124715955</v>
      </c>
      <c r="K46" s="86" t="s">
        <v>276</v>
      </c>
      <c r="L46" s="61"/>
      <c r="M46" s="61" t="s">
        <v>282</v>
      </c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>
      <c r="A47" s="83">
        <v>38</v>
      </c>
      <c r="B47" s="87" t="s">
        <v>277</v>
      </c>
      <c r="C47" s="88" t="s">
        <v>92</v>
      </c>
      <c r="D47" s="87">
        <v>1145225610</v>
      </c>
      <c r="E47" s="89"/>
      <c r="F47" s="89" t="s">
        <v>278</v>
      </c>
      <c r="G47" s="87">
        <v>3239062253</v>
      </c>
      <c r="H47" s="87" t="s">
        <v>279</v>
      </c>
      <c r="I47" s="89" t="s">
        <v>280</v>
      </c>
      <c r="J47" s="87">
        <v>3104848424</v>
      </c>
      <c r="K47" s="89" t="s">
        <v>281</v>
      </c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>
      <c r="A48" s="80">
        <v>39</v>
      </c>
      <c r="B48" s="79"/>
      <c r="C48" s="81"/>
      <c r="D48" s="79"/>
      <c r="E48" s="79"/>
      <c r="F48" s="79"/>
      <c r="G48" s="79"/>
      <c r="H48" s="79"/>
      <c r="I48" s="79"/>
      <c r="J48" s="79"/>
      <c r="K48" s="79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>
      <c r="A49" s="80">
        <v>40</v>
      </c>
      <c r="B49" s="79"/>
      <c r="C49" s="81"/>
      <c r="D49" s="79"/>
      <c r="E49" s="79"/>
      <c r="F49" s="79"/>
      <c r="G49" s="79"/>
      <c r="H49" s="79"/>
      <c r="I49" s="79"/>
      <c r="J49" s="79"/>
      <c r="K49" s="79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>
      <c r="A50" s="80">
        <v>41</v>
      </c>
      <c r="B50" s="79"/>
      <c r="C50" s="81"/>
      <c r="D50" s="79"/>
      <c r="E50" s="79"/>
      <c r="F50" s="79" t="s">
        <v>80</v>
      </c>
      <c r="G50" s="79"/>
      <c r="H50" s="79"/>
      <c r="I50" s="79"/>
      <c r="J50" s="79"/>
      <c r="K50" s="79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>
      <c r="A51" s="80">
        <v>42</v>
      </c>
      <c r="B51" s="79"/>
      <c r="C51" s="81"/>
      <c r="D51" s="79"/>
      <c r="E51" s="79"/>
      <c r="F51" s="79"/>
      <c r="G51" s="79"/>
      <c r="H51" s="79"/>
      <c r="I51" s="79"/>
      <c r="J51" s="79"/>
      <c r="K51" s="79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>
      <c r="A52" s="60"/>
      <c r="B52" s="48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>
      <c r="A53" s="60"/>
      <c r="B53" s="48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>
      <c r="A54" s="60"/>
      <c r="B54" s="48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>
      <c r="A55" s="60"/>
      <c r="B55" s="48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>
      <c r="A56" s="60"/>
      <c r="B56" s="48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>
      <c r="A57" s="60"/>
      <c r="B57" s="48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>
      <c r="A58" s="60"/>
      <c r="B58" s="48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>
      <c r="A59" s="60"/>
      <c r="B59" s="48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>
      <c r="A60" s="60"/>
      <c r="B60" s="48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>
      <c r="A61" s="60"/>
      <c r="B61" s="48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>
      <c r="A62" s="60"/>
      <c r="B62" s="48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>
      <c r="A63" s="60"/>
      <c r="B63" s="48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>
      <c r="A64" s="60"/>
      <c r="B64" s="48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>
      <c r="A65" s="60"/>
      <c r="B65" s="48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>
      <c r="A66" s="60"/>
      <c r="B66" s="48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>
      <c r="A67" s="60"/>
      <c r="B67" s="48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>
      <c r="A68" s="60"/>
      <c r="B68" s="48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>
      <c r="A69" s="60"/>
      <c r="B69" s="48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>
      <c r="A70" s="60"/>
      <c r="B70" s="48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>
      <c r="A71" s="60"/>
      <c r="B71" s="48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>
      <c r="A72" s="60"/>
      <c r="B72" s="48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>
      <c r="A73" s="60"/>
      <c r="B73" s="48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>
      <c r="A74" s="60"/>
      <c r="B74" s="48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>
      <c r="A75" s="60"/>
      <c r="B75" s="48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>
      <c r="A76" s="60"/>
      <c r="B76" s="48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>
      <c r="A77" s="60"/>
      <c r="B77" s="48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>
      <c r="A78" s="60"/>
      <c r="B78" s="48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>
      <c r="A79" s="60"/>
      <c r="B79" s="48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>
      <c r="A80" s="60"/>
      <c r="B80" s="48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>
      <c r="A81" s="60"/>
      <c r="B81" s="48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>
      <c r="A82" s="60"/>
      <c r="B82" s="48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>
      <c r="A83" s="60"/>
      <c r="B83" s="48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>
      <c r="A84" s="60"/>
      <c r="B84" s="48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>
      <c r="A85" s="60"/>
      <c r="B85" s="48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>
      <c r="A86" s="60"/>
      <c r="B86" s="48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>
      <c r="A87" s="60"/>
      <c r="B87" s="48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>
      <c r="A88" s="60"/>
      <c r="B88" s="48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>
      <c r="A89" s="60"/>
      <c r="B89" s="48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>
      <c r="A90" s="60"/>
      <c r="B90" s="48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>
      <c r="A91" s="60"/>
      <c r="B91" s="48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>
      <c r="A92" s="60"/>
      <c r="B92" s="48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>
      <c r="A93" s="60"/>
      <c r="B93" s="48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>
      <c r="A94" s="60"/>
      <c r="B94" s="48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>
      <c r="A95" s="60"/>
      <c r="B95" s="48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>
      <c r="A96" s="60"/>
      <c r="B96" s="48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>
      <c r="A97" s="60"/>
      <c r="B97" s="48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>
      <c r="A98" s="60"/>
      <c r="B98" s="48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>
      <c r="A99" s="60"/>
      <c r="B99" s="48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>
      <c r="A100" s="60"/>
      <c r="B100" s="48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>
      <c r="A101" s="60"/>
      <c r="B101" s="48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>
      <c r="A102" s="60"/>
      <c r="B102" s="48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>
      <c r="A103" s="60"/>
      <c r="B103" s="48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>
      <c r="A104" s="60"/>
      <c r="B104" s="48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>
      <c r="A105" s="60"/>
      <c r="B105" s="48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>
      <c r="A106" s="60"/>
      <c r="B106" s="48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>
      <c r="A107" s="60"/>
      <c r="B107" s="48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>
      <c r="A108" s="60"/>
      <c r="B108" s="48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>
      <c r="A109" s="60"/>
      <c r="B109" s="48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>
      <c r="A110" s="60"/>
      <c r="B110" s="48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>
      <c r="A111" s="60"/>
      <c r="B111" s="48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>
      <c r="A112" s="60"/>
      <c r="B112" s="48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>
      <c r="A113" s="60"/>
      <c r="B113" s="48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>
      <c r="A114" s="60"/>
      <c r="B114" s="48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>
      <c r="A115" s="60"/>
      <c r="B115" s="48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>
      <c r="A116" s="60"/>
      <c r="B116" s="48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>
      <c r="A117" s="60"/>
      <c r="B117" s="48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>
      <c r="A118" s="60"/>
      <c r="B118" s="48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>
      <c r="A119" s="60"/>
      <c r="B119" s="48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>
      <c r="A120" s="60"/>
      <c r="B120" s="48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>
      <c r="A121" s="60"/>
      <c r="B121" s="48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>
      <c r="A122" s="60"/>
      <c r="B122" s="48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>
      <c r="A123" s="60"/>
      <c r="B123" s="48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>
      <c r="A124" s="60"/>
      <c r="B124" s="48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>
      <c r="A125" s="60"/>
      <c r="B125" s="48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>
      <c r="A126" s="60"/>
      <c r="B126" s="48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>
      <c r="A127" s="60"/>
      <c r="B127" s="48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>
      <c r="A128" s="60"/>
      <c r="B128" s="48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>
      <c r="A129" s="60"/>
      <c r="B129" s="48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>
      <c r="A130" s="60"/>
      <c r="B130" s="48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>
      <c r="A131" s="60"/>
      <c r="B131" s="48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>
      <c r="A132" s="60"/>
      <c r="B132" s="48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>
      <c r="A133" s="60"/>
      <c r="B133" s="48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>
      <c r="A134" s="60"/>
      <c r="B134" s="48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>
      <c r="A135" s="60"/>
      <c r="B135" s="48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>
      <c r="A136" s="60"/>
      <c r="B136" s="48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>
      <c r="A137" s="60"/>
      <c r="B137" s="48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>
      <c r="A138" s="60"/>
      <c r="B138" s="48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>
      <c r="A139" s="60"/>
      <c r="B139" s="48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>
      <c r="A140" s="60"/>
      <c r="B140" s="48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>
      <c r="A141" s="60"/>
      <c r="B141" s="48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>
      <c r="A142" s="60"/>
      <c r="B142" s="48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>
      <c r="A143" s="60"/>
      <c r="B143" s="48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>
      <c r="A144" s="60"/>
      <c r="B144" s="48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>
      <c r="A145" s="60"/>
      <c r="B145" s="48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>
      <c r="A146" s="60"/>
      <c r="B146" s="48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>
      <c r="A147" s="60"/>
      <c r="B147" s="48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>
      <c r="A148" s="60"/>
      <c r="B148" s="48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>
      <c r="A149" s="60"/>
      <c r="B149" s="48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>
      <c r="A150" s="60"/>
      <c r="B150" s="48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>
      <c r="A151" s="60"/>
      <c r="B151" s="48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>
      <c r="A152" s="60"/>
      <c r="B152" s="48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>
      <c r="A153" s="60"/>
      <c r="B153" s="48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>
      <c r="A154" s="60"/>
      <c r="B154" s="48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>
      <c r="A155" s="60"/>
      <c r="B155" s="48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>
      <c r="A156" s="60"/>
      <c r="B156" s="48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>
      <c r="A157" s="60"/>
      <c r="B157" s="48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>
      <c r="A158" s="60"/>
      <c r="B158" s="48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>
      <c r="A159" s="60"/>
      <c r="B159" s="48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>
      <c r="A160" s="60"/>
      <c r="B160" s="48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>
      <c r="A161" s="60"/>
      <c r="B161" s="48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>
      <c r="A162" s="60"/>
      <c r="B162" s="48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>
      <c r="A163" s="60"/>
      <c r="B163" s="48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>
      <c r="A164" s="60"/>
      <c r="B164" s="48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>
      <c r="A165" s="60"/>
      <c r="B165" s="48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>
      <c r="A166" s="60"/>
      <c r="B166" s="48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>
      <c r="A167" s="60"/>
      <c r="B167" s="48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>
      <c r="A168" s="60"/>
      <c r="B168" s="48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>
      <c r="A169" s="60"/>
      <c r="B169" s="48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>
      <c r="A170" s="60"/>
      <c r="B170" s="48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>
      <c r="A171" s="60"/>
      <c r="B171" s="48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>
      <c r="A172" s="60"/>
      <c r="B172" s="48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>
      <c r="A173" s="60"/>
      <c r="B173" s="48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>
      <c r="A174" s="60"/>
      <c r="B174" s="48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>
      <c r="A175" s="60"/>
      <c r="B175" s="48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>
      <c r="A176" s="60"/>
      <c r="B176" s="48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>
      <c r="A177" s="60"/>
      <c r="B177" s="48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>
      <c r="A178" s="60"/>
      <c r="B178" s="48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>
      <c r="A179" s="60"/>
      <c r="B179" s="48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>
      <c r="A180" s="60"/>
      <c r="B180" s="48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>
      <c r="A181" s="60"/>
      <c r="B181" s="48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>
      <c r="A182" s="60"/>
      <c r="B182" s="48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>
      <c r="A183" s="60"/>
      <c r="B183" s="48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>
      <c r="A184" s="60"/>
      <c r="B184" s="48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>
      <c r="A185" s="60"/>
      <c r="B185" s="48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>
      <c r="A186" s="60"/>
      <c r="B186" s="48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>
      <c r="A187" s="60"/>
      <c r="B187" s="48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>
      <c r="A188" s="60"/>
      <c r="B188" s="48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>
      <c r="A189" s="60"/>
      <c r="B189" s="48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>
      <c r="A190" s="60"/>
      <c r="B190" s="48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>
      <c r="A191" s="60"/>
      <c r="B191" s="48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>
      <c r="A192" s="60"/>
      <c r="B192" s="48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>
      <c r="A193" s="60"/>
      <c r="B193" s="48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>
      <c r="A194" s="60"/>
      <c r="B194" s="48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>
      <c r="A195" s="60"/>
      <c r="B195" s="48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>
      <c r="A196" s="60"/>
      <c r="B196" s="48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>
      <c r="A197" s="60"/>
      <c r="B197" s="48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>
      <c r="A198" s="60"/>
      <c r="B198" s="48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>
      <c r="A199" s="60"/>
      <c r="B199" s="48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>
      <c r="A200" s="60"/>
      <c r="B200" s="48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>
      <c r="A201" s="60"/>
      <c r="B201" s="48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>
      <c r="A202" s="60"/>
      <c r="B202" s="48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>
      <c r="A203" s="60"/>
      <c r="B203" s="48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>
      <c r="A204" s="60"/>
      <c r="B204" s="48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>
      <c r="A205" s="60"/>
      <c r="B205" s="48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>
      <c r="A206" s="60"/>
      <c r="B206" s="48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>
      <c r="A207" s="60"/>
      <c r="B207" s="48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>
      <c r="A208" s="60"/>
      <c r="B208" s="48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>
      <c r="A209" s="60"/>
      <c r="B209" s="48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>
      <c r="A210" s="60"/>
      <c r="B210" s="48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>
      <c r="A211" s="60"/>
      <c r="B211" s="48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>
      <c r="A212" s="60"/>
      <c r="B212" s="48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>
      <c r="A213" s="60"/>
      <c r="B213" s="48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>
      <c r="A214" s="60"/>
      <c r="B214" s="48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>
      <c r="A215" s="60"/>
      <c r="B215" s="48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>
      <c r="A216" s="60"/>
      <c r="B216" s="48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>
      <c r="A217" s="60"/>
      <c r="B217" s="48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>
      <c r="A218" s="60"/>
      <c r="B218" s="48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>
      <c r="A219" s="60"/>
      <c r="B219" s="48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>
      <c r="A220" s="60"/>
      <c r="B220" s="48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>
      <c r="A221" s="60"/>
      <c r="B221" s="48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>
      <c r="A222" s="60"/>
      <c r="B222" s="48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>
      <c r="A223" s="60"/>
      <c r="B223" s="48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>
      <c r="A224" s="60"/>
      <c r="B224" s="48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>
      <c r="A225" s="60"/>
      <c r="B225" s="48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>
      <c r="A226" s="60"/>
      <c r="B226" s="48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>
      <c r="A227" s="60"/>
      <c r="B227" s="48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>
      <c r="A228" s="60"/>
      <c r="B228" s="48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>
      <c r="A229" s="60"/>
      <c r="B229" s="48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>
      <c r="A230" s="60"/>
      <c r="B230" s="48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>
      <c r="A231" s="60"/>
      <c r="B231" s="48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>
      <c r="A232" s="60"/>
      <c r="B232" s="48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>
      <c r="A233" s="60"/>
      <c r="B233" s="48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>
      <c r="A234" s="60"/>
      <c r="B234" s="48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>
      <c r="A235" s="60"/>
      <c r="B235" s="48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>
      <c r="A236" s="60"/>
      <c r="B236" s="48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>
      <c r="A237" s="60"/>
      <c r="B237" s="48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>
      <c r="A238" s="60"/>
      <c r="B238" s="48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>
      <c r="A239" s="60"/>
      <c r="B239" s="48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>
      <c r="A240" s="60"/>
      <c r="B240" s="48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>
      <c r="A241" s="60"/>
      <c r="B241" s="48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>
      <c r="A242" s="60"/>
      <c r="B242" s="48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>
      <c r="A243" s="60"/>
      <c r="B243" s="48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>
      <c r="A244" s="60"/>
      <c r="B244" s="48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>
      <c r="A245" s="60"/>
      <c r="B245" s="48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>
      <c r="A246" s="60"/>
      <c r="C246" s="47"/>
    </row>
    <row r="247" spans="1:26" ht="15.75" customHeight="1">
      <c r="A247" s="60"/>
      <c r="C247" s="47"/>
    </row>
    <row r="248" spans="1:26" ht="15.75" customHeight="1">
      <c r="A248" s="60"/>
      <c r="C248" s="47"/>
    </row>
    <row r="249" spans="1:26" ht="15.75" customHeight="1">
      <c r="A249" s="60"/>
      <c r="C249" s="47"/>
    </row>
    <row r="250" spans="1:26" ht="15.75" customHeight="1">
      <c r="A250" s="60"/>
      <c r="C250" s="47"/>
    </row>
    <row r="251" spans="1:26" ht="15.75" customHeight="1">
      <c r="A251" s="60"/>
      <c r="C251" s="47"/>
    </row>
    <row r="252" spans="1:26" ht="15.75" customHeight="1">
      <c r="A252" s="60"/>
      <c r="C252" s="47"/>
    </row>
    <row r="253" spans="1:26" ht="15.75" customHeight="1">
      <c r="A253" s="60"/>
      <c r="C253" s="47"/>
    </row>
    <row r="254" spans="1:26" ht="15.75" customHeight="1">
      <c r="A254" s="60"/>
      <c r="C254" s="47"/>
    </row>
    <row r="255" spans="1:26" ht="15.75" customHeight="1">
      <c r="A255" s="60"/>
      <c r="C255" s="47"/>
    </row>
    <row r="256" spans="1:26" ht="15.75" customHeight="1">
      <c r="A256" s="60"/>
      <c r="C256" s="47"/>
    </row>
    <row r="257" spans="1:3" ht="15.75" customHeight="1">
      <c r="A257" s="60"/>
      <c r="C257" s="47"/>
    </row>
    <row r="258" spans="1:3" ht="15.75" customHeight="1">
      <c r="A258" s="60"/>
      <c r="C258" s="47"/>
    </row>
    <row r="259" spans="1:3" ht="15.75" customHeight="1">
      <c r="A259" s="60"/>
      <c r="C259" s="47"/>
    </row>
    <row r="260" spans="1:3" ht="15.75" customHeight="1">
      <c r="A260" s="60"/>
      <c r="C260" s="47"/>
    </row>
    <row r="261" spans="1:3" ht="15.75" customHeight="1">
      <c r="A261" s="60"/>
      <c r="C261" s="47"/>
    </row>
    <row r="262" spans="1:3" ht="15.75" customHeight="1">
      <c r="A262" s="60"/>
      <c r="C262" s="47"/>
    </row>
    <row r="263" spans="1:3" ht="15.75" customHeight="1">
      <c r="A263" s="60"/>
      <c r="C263" s="47"/>
    </row>
    <row r="264" spans="1:3" ht="15.75" customHeight="1">
      <c r="A264" s="60"/>
      <c r="C264" s="47"/>
    </row>
    <row r="265" spans="1:3" ht="15.75" customHeight="1">
      <c r="A265" s="60"/>
      <c r="C265" s="47"/>
    </row>
    <row r="266" spans="1:3" ht="15.75" customHeight="1">
      <c r="A266" s="60"/>
      <c r="C266" s="47"/>
    </row>
    <row r="267" spans="1:3" ht="15.75" customHeight="1">
      <c r="A267" s="60"/>
      <c r="C267" s="47"/>
    </row>
    <row r="268" spans="1:3" ht="15.75" customHeight="1">
      <c r="A268" s="60"/>
      <c r="C268" s="47"/>
    </row>
    <row r="269" spans="1:3" ht="15.75" customHeight="1">
      <c r="A269" s="60"/>
      <c r="C269" s="47"/>
    </row>
    <row r="270" spans="1:3" ht="15.75" customHeight="1">
      <c r="A270" s="60"/>
      <c r="C270" s="47"/>
    </row>
    <row r="271" spans="1:3" ht="15.75" customHeight="1">
      <c r="A271" s="60"/>
      <c r="C271" s="47"/>
    </row>
    <row r="272" spans="1:3" ht="15.75" customHeight="1">
      <c r="A272" s="60"/>
      <c r="C272" s="47"/>
    </row>
    <row r="273" spans="1:3" ht="15.75" customHeight="1">
      <c r="A273" s="60"/>
      <c r="C273" s="47"/>
    </row>
    <row r="274" spans="1:3" ht="15.75" customHeight="1">
      <c r="A274" s="60"/>
      <c r="C274" s="47"/>
    </row>
    <row r="275" spans="1:3" ht="15.75" customHeight="1">
      <c r="A275" s="60"/>
      <c r="C275" s="47"/>
    </row>
    <row r="276" spans="1:3" ht="15.75" customHeight="1">
      <c r="A276" s="60"/>
      <c r="C276" s="47"/>
    </row>
    <row r="277" spans="1:3" ht="15.75" customHeight="1">
      <c r="A277" s="60"/>
      <c r="C277" s="47"/>
    </row>
    <row r="278" spans="1:3" ht="15.75" customHeight="1">
      <c r="A278" s="60"/>
      <c r="C278" s="47"/>
    </row>
    <row r="279" spans="1:3" ht="15.75" customHeight="1">
      <c r="A279" s="60"/>
      <c r="C279" s="47"/>
    </row>
    <row r="280" spans="1:3" ht="15.75" customHeight="1">
      <c r="A280" s="60"/>
      <c r="C280" s="47"/>
    </row>
    <row r="281" spans="1:3" ht="15.75" customHeight="1">
      <c r="A281" s="60"/>
      <c r="C281" s="47"/>
    </row>
    <row r="282" spans="1:3" ht="15.75" customHeight="1">
      <c r="A282" s="60"/>
      <c r="C282" s="47"/>
    </row>
    <row r="283" spans="1:3" ht="15.75" customHeight="1">
      <c r="A283" s="60"/>
      <c r="C283" s="47"/>
    </row>
    <row r="284" spans="1:3" ht="15.75" customHeight="1">
      <c r="A284" s="60"/>
      <c r="C284" s="47"/>
    </row>
    <row r="285" spans="1:3" ht="15.75" customHeight="1">
      <c r="A285" s="60"/>
      <c r="C285" s="47"/>
    </row>
    <row r="286" spans="1:3" ht="15.75" customHeight="1">
      <c r="A286" s="60"/>
      <c r="C286" s="47"/>
    </row>
    <row r="287" spans="1:3" ht="15.75" customHeight="1">
      <c r="A287" s="60"/>
      <c r="C287" s="47"/>
    </row>
    <row r="288" spans="1:3" ht="15.75" customHeight="1">
      <c r="A288" s="60"/>
      <c r="C288" s="47"/>
    </row>
    <row r="289" spans="1:3" ht="15.75" customHeight="1">
      <c r="A289" s="60"/>
      <c r="C289" s="47"/>
    </row>
    <row r="290" spans="1:3" ht="15.75" customHeight="1">
      <c r="A290" s="60"/>
      <c r="C290" s="47"/>
    </row>
    <row r="291" spans="1:3" ht="15.75" customHeight="1">
      <c r="A291" s="60"/>
      <c r="C291" s="47"/>
    </row>
    <row r="292" spans="1:3" ht="15.75" customHeight="1">
      <c r="A292" s="60"/>
      <c r="C292" s="47"/>
    </row>
    <row r="293" spans="1:3" ht="15.75" customHeight="1">
      <c r="A293" s="60"/>
      <c r="C293" s="47"/>
    </row>
    <row r="294" spans="1:3" ht="15.75" customHeight="1">
      <c r="A294" s="60"/>
      <c r="C294" s="47"/>
    </row>
    <row r="295" spans="1:3" ht="15.75" customHeight="1">
      <c r="A295" s="60"/>
      <c r="C295" s="47"/>
    </row>
    <row r="296" spans="1:3" ht="15.75" customHeight="1">
      <c r="A296" s="60"/>
      <c r="C296" s="47"/>
    </row>
    <row r="297" spans="1:3" ht="15.75" customHeight="1">
      <c r="A297" s="60"/>
      <c r="C297" s="47"/>
    </row>
    <row r="298" spans="1:3" ht="15.75" customHeight="1">
      <c r="A298" s="60"/>
      <c r="C298" s="47"/>
    </row>
    <row r="299" spans="1:3" ht="15.75" customHeight="1">
      <c r="A299" s="60"/>
      <c r="C299" s="47"/>
    </row>
    <row r="300" spans="1:3" ht="15.75" customHeight="1">
      <c r="A300" s="60"/>
      <c r="C300" s="47"/>
    </row>
    <row r="301" spans="1:3" ht="15.75" customHeight="1">
      <c r="A301" s="60"/>
      <c r="C301" s="47"/>
    </row>
    <row r="302" spans="1:3" ht="15.75" customHeight="1">
      <c r="A302" s="60"/>
      <c r="C302" s="47"/>
    </row>
    <row r="303" spans="1:3" ht="15.75" customHeight="1">
      <c r="A303" s="60"/>
      <c r="C303" s="47"/>
    </row>
    <row r="304" spans="1:3" ht="15.75" customHeight="1">
      <c r="A304" s="60"/>
      <c r="C304" s="47"/>
    </row>
    <row r="305" spans="1:3" ht="15.75" customHeight="1">
      <c r="A305" s="60"/>
      <c r="C305" s="47"/>
    </row>
    <row r="306" spans="1:3" ht="15.75" customHeight="1">
      <c r="A306" s="60"/>
      <c r="C306" s="47"/>
    </row>
    <row r="307" spans="1:3" ht="15.75" customHeight="1">
      <c r="A307" s="60"/>
      <c r="C307" s="47"/>
    </row>
    <row r="308" spans="1:3" ht="15.75" customHeight="1">
      <c r="A308" s="60"/>
      <c r="C308" s="47"/>
    </row>
    <row r="309" spans="1:3" ht="15.75" customHeight="1">
      <c r="A309" s="60"/>
      <c r="C309" s="47"/>
    </row>
    <row r="310" spans="1:3" ht="15.75" customHeight="1">
      <c r="A310" s="60"/>
      <c r="C310" s="47"/>
    </row>
    <row r="311" spans="1:3" ht="15.75" customHeight="1">
      <c r="A311" s="60"/>
      <c r="C311" s="47"/>
    </row>
    <row r="312" spans="1:3" ht="15.75" customHeight="1">
      <c r="A312" s="60"/>
      <c r="C312" s="47"/>
    </row>
    <row r="313" spans="1:3" ht="15.75" customHeight="1">
      <c r="A313" s="60"/>
      <c r="C313" s="47"/>
    </row>
    <row r="314" spans="1:3" ht="15.75" customHeight="1">
      <c r="A314" s="60"/>
      <c r="C314" s="47"/>
    </row>
    <row r="315" spans="1:3" ht="15.75" customHeight="1">
      <c r="A315" s="60"/>
      <c r="C315" s="47"/>
    </row>
    <row r="316" spans="1:3" ht="15.75" customHeight="1">
      <c r="A316" s="60"/>
      <c r="C316" s="47"/>
    </row>
    <row r="317" spans="1:3" ht="15.75" customHeight="1">
      <c r="A317" s="60"/>
      <c r="C317" s="47"/>
    </row>
    <row r="318" spans="1:3" ht="15.75" customHeight="1">
      <c r="A318" s="60"/>
      <c r="C318" s="47"/>
    </row>
    <row r="319" spans="1:3" ht="15.75" customHeight="1">
      <c r="A319" s="60"/>
      <c r="C319" s="47"/>
    </row>
    <row r="320" spans="1:3" ht="15.75" customHeight="1">
      <c r="A320" s="60"/>
      <c r="C320" s="47"/>
    </row>
    <row r="321" spans="1:3" ht="15.75" customHeight="1">
      <c r="A321" s="60"/>
      <c r="C321" s="47"/>
    </row>
    <row r="322" spans="1:3" ht="15.75" customHeight="1">
      <c r="A322" s="60"/>
      <c r="C322" s="47"/>
    </row>
    <row r="323" spans="1:3" ht="15.75" customHeight="1">
      <c r="A323" s="60"/>
      <c r="C323" s="47"/>
    </row>
    <row r="324" spans="1:3" ht="15.75" customHeight="1">
      <c r="A324" s="60"/>
      <c r="C324" s="47"/>
    </row>
    <row r="325" spans="1:3" ht="15.75" customHeight="1">
      <c r="A325" s="60"/>
      <c r="C325" s="47"/>
    </row>
    <row r="326" spans="1:3" ht="15.75" customHeight="1">
      <c r="A326" s="60"/>
      <c r="C326" s="47"/>
    </row>
    <row r="327" spans="1:3" ht="15.75" customHeight="1">
      <c r="A327" s="60"/>
      <c r="C327" s="47"/>
    </row>
    <row r="328" spans="1:3" ht="15.75" customHeight="1">
      <c r="A328" s="60"/>
      <c r="C328" s="47"/>
    </row>
    <row r="329" spans="1:3" ht="15.75" customHeight="1">
      <c r="A329" s="60"/>
      <c r="C329" s="47"/>
    </row>
    <row r="330" spans="1:3" ht="15.75" customHeight="1">
      <c r="A330" s="60"/>
      <c r="C330" s="47"/>
    </row>
    <row r="331" spans="1:3" ht="15.75" customHeight="1">
      <c r="A331" s="60"/>
      <c r="C331" s="47"/>
    </row>
    <row r="332" spans="1:3" ht="15.75" customHeight="1">
      <c r="A332" s="60"/>
      <c r="C332" s="47"/>
    </row>
    <row r="333" spans="1:3" ht="15.75" customHeight="1">
      <c r="A333" s="60"/>
      <c r="C333" s="47"/>
    </row>
    <row r="334" spans="1:3" ht="15.75" customHeight="1">
      <c r="A334" s="60"/>
      <c r="C334" s="47"/>
    </row>
    <row r="335" spans="1:3" ht="15.75" customHeight="1">
      <c r="A335" s="60"/>
      <c r="C335" s="47"/>
    </row>
    <row r="336" spans="1:3" ht="15.75" customHeight="1">
      <c r="A336" s="60"/>
      <c r="C336" s="47"/>
    </row>
    <row r="337" spans="1:3" ht="15.75" customHeight="1">
      <c r="A337" s="60"/>
      <c r="C337" s="47"/>
    </row>
    <row r="338" spans="1:3" ht="15.75" customHeight="1">
      <c r="A338" s="60"/>
      <c r="C338" s="47"/>
    </row>
    <row r="339" spans="1:3" ht="15.75" customHeight="1">
      <c r="A339" s="60"/>
      <c r="C339" s="47"/>
    </row>
    <row r="340" spans="1:3" ht="15.75" customHeight="1">
      <c r="A340" s="60"/>
      <c r="C340" s="47"/>
    </row>
    <row r="341" spans="1:3" ht="15.75" customHeight="1">
      <c r="A341" s="60"/>
      <c r="C341" s="47"/>
    </row>
    <row r="342" spans="1:3" ht="15.75" customHeight="1">
      <c r="A342" s="60"/>
      <c r="C342" s="47"/>
    </row>
    <row r="343" spans="1:3" ht="15.75" customHeight="1">
      <c r="A343" s="60"/>
      <c r="C343" s="47"/>
    </row>
    <row r="344" spans="1:3" ht="15.75" customHeight="1">
      <c r="A344" s="60"/>
      <c r="C344" s="47"/>
    </row>
    <row r="345" spans="1:3" ht="15.75" customHeight="1">
      <c r="A345" s="60"/>
      <c r="C345" s="47"/>
    </row>
    <row r="346" spans="1:3" ht="15.75" customHeight="1">
      <c r="A346" s="60"/>
      <c r="C346" s="47"/>
    </row>
    <row r="347" spans="1:3" ht="15.75" customHeight="1">
      <c r="A347" s="60"/>
      <c r="C347" s="47"/>
    </row>
    <row r="348" spans="1:3" ht="15.75" customHeight="1">
      <c r="A348" s="60"/>
      <c r="C348" s="47"/>
    </row>
    <row r="349" spans="1:3" ht="15.75" customHeight="1">
      <c r="A349" s="60"/>
      <c r="C349" s="47"/>
    </row>
    <row r="350" spans="1:3" ht="15.75" customHeight="1">
      <c r="A350" s="60"/>
      <c r="C350" s="47"/>
    </row>
    <row r="351" spans="1:3" ht="15.75" customHeight="1">
      <c r="A351" s="60"/>
      <c r="C351" s="47"/>
    </row>
    <row r="352" spans="1:3" ht="15.75" customHeight="1">
      <c r="A352" s="60"/>
      <c r="C352" s="47"/>
    </row>
    <row r="353" spans="1:3" ht="15.75" customHeight="1">
      <c r="A353" s="60"/>
      <c r="C353" s="47"/>
    </row>
    <row r="354" spans="1:3" ht="15.75" customHeight="1">
      <c r="A354" s="60"/>
      <c r="C354" s="47"/>
    </row>
    <row r="355" spans="1:3" ht="15.75" customHeight="1">
      <c r="A355" s="60"/>
      <c r="C355" s="47"/>
    </row>
    <row r="356" spans="1:3" ht="15.75" customHeight="1">
      <c r="A356" s="60"/>
      <c r="C356" s="47"/>
    </row>
    <row r="357" spans="1:3" ht="15.75" customHeight="1">
      <c r="A357" s="60"/>
      <c r="C357" s="47"/>
    </row>
    <row r="358" spans="1:3" ht="15.75" customHeight="1">
      <c r="A358" s="60"/>
      <c r="C358" s="47"/>
    </row>
    <row r="359" spans="1:3" ht="15.75" customHeight="1">
      <c r="A359" s="60"/>
      <c r="C359" s="47"/>
    </row>
    <row r="360" spans="1:3" ht="15.75" customHeight="1">
      <c r="A360" s="60"/>
      <c r="C360" s="47"/>
    </row>
    <row r="361" spans="1:3" ht="15.75" customHeight="1">
      <c r="A361" s="60"/>
      <c r="C361" s="47"/>
    </row>
    <row r="362" spans="1:3" ht="15.75" customHeight="1">
      <c r="A362" s="60"/>
      <c r="C362" s="47"/>
    </row>
    <row r="363" spans="1:3" ht="15.75" customHeight="1">
      <c r="A363" s="60"/>
      <c r="C363" s="47"/>
    </row>
    <row r="364" spans="1:3" ht="15.75" customHeight="1">
      <c r="A364" s="60"/>
      <c r="C364" s="47"/>
    </row>
    <row r="365" spans="1:3" ht="15.75" customHeight="1">
      <c r="A365" s="60"/>
      <c r="C365" s="47"/>
    </row>
    <row r="366" spans="1:3" ht="15.75" customHeight="1">
      <c r="A366" s="60"/>
      <c r="C366" s="47"/>
    </row>
    <row r="367" spans="1:3" ht="15.75" customHeight="1">
      <c r="A367" s="60"/>
      <c r="C367" s="47"/>
    </row>
    <row r="368" spans="1:3" ht="15.75" customHeight="1">
      <c r="A368" s="60"/>
      <c r="C368" s="47"/>
    </row>
    <row r="369" spans="1:3" ht="15.75" customHeight="1">
      <c r="A369" s="60"/>
      <c r="C369" s="47"/>
    </row>
    <row r="370" spans="1:3" ht="15.75" customHeight="1">
      <c r="A370" s="60"/>
      <c r="C370" s="47"/>
    </row>
    <row r="371" spans="1:3" ht="15.75" customHeight="1">
      <c r="A371" s="60"/>
      <c r="C371" s="47"/>
    </row>
    <row r="372" spans="1:3" ht="15.75" customHeight="1">
      <c r="A372" s="60"/>
      <c r="C372" s="47"/>
    </row>
    <row r="373" spans="1:3" ht="15.75" customHeight="1">
      <c r="A373" s="60"/>
      <c r="C373" s="47"/>
    </row>
    <row r="374" spans="1:3" ht="15.75" customHeight="1">
      <c r="A374" s="60"/>
      <c r="C374" s="47"/>
    </row>
    <row r="375" spans="1:3" ht="15.75" customHeight="1">
      <c r="A375" s="60"/>
      <c r="C375" s="47"/>
    </row>
    <row r="376" spans="1:3" ht="15.75" customHeight="1">
      <c r="A376" s="60"/>
      <c r="C376" s="47"/>
    </row>
    <row r="377" spans="1:3" ht="15.75" customHeight="1">
      <c r="A377" s="60"/>
      <c r="C377" s="47"/>
    </row>
    <row r="378" spans="1:3" ht="15.75" customHeight="1">
      <c r="A378" s="60"/>
      <c r="C378" s="47"/>
    </row>
    <row r="379" spans="1:3" ht="15.75" customHeight="1">
      <c r="A379" s="60"/>
      <c r="C379" s="47"/>
    </row>
    <row r="380" spans="1:3" ht="15.75" customHeight="1">
      <c r="A380" s="60"/>
      <c r="C380" s="47"/>
    </row>
    <row r="381" spans="1:3" ht="15.75" customHeight="1">
      <c r="A381" s="60"/>
      <c r="C381" s="47"/>
    </row>
    <row r="382" spans="1:3" ht="15.75" customHeight="1">
      <c r="A382" s="60"/>
      <c r="C382" s="47"/>
    </row>
    <row r="383" spans="1:3" ht="15.75" customHeight="1">
      <c r="A383" s="60"/>
      <c r="C383" s="47"/>
    </row>
    <row r="384" spans="1:3" ht="15.75" customHeight="1">
      <c r="A384" s="60"/>
      <c r="C384" s="47"/>
    </row>
    <row r="385" spans="1:3" ht="15.75" customHeight="1">
      <c r="A385" s="60"/>
      <c r="C385" s="47"/>
    </row>
    <row r="386" spans="1:3" ht="15.75" customHeight="1">
      <c r="A386" s="60"/>
      <c r="C386" s="47"/>
    </row>
    <row r="387" spans="1:3" ht="15.75" customHeight="1">
      <c r="A387" s="60"/>
      <c r="C387" s="47"/>
    </row>
    <row r="388" spans="1:3" ht="15.75" customHeight="1">
      <c r="A388" s="60"/>
      <c r="C388" s="47"/>
    </row>
    <row r="389" spans="1:3" ht="15.75" customHeight="1">
      <c r="A389" s="60"/>
      <c r="C389" s="47"/>
    </row>
    <row r="390" spans="1:3" ht="15.75" customHeight="1">
      <c r="A390" s="60"/>
      <c r="C390" s="47"/>
    </row>
    <row r="391" spans="1:3" ht="15.75" customHeight="1">
      <c r="A391" s="60"/>
      <c r="C391" s="47"/>
    </row>
    <row r="392" spans="1:3" ht="15.75" customHeight="1">
      <c r="A392" s="60"/>
      <c r="C392" s="47"/>
    </row>
    <row r="393" spans="1:3" ht="15.75" customHeight="1">
      <c r="A393" s="60"/>
      <c r="C393" s="47"/>
    </row>
    <row r="394" spans="1:3" ht="15.75" customHeight="1">
      <c r="A394" s="60"/>
      <c r="C394" s="47"/>
    </row>
    <row r="395" spans="1:3" ht="15.75" customHeight="1">
      <c r="A395" s="60"/>
      <c r="C395" s="47"/>
    </row>
    <row r="396" spans="1:3" ht="15.75" customHeight="1">
      <c r="A396" s="60"/>
      <c r="C396" s="47"/>
    </row>
    <row r="397" spans="1:3" ht="15.75" customHeight="1">
      <c r="A397" s="60"/>
      <c r="C397" s="47"/>
    </row>
    <row r="398" spans="1:3" ht="15.75" customHeight="1">
      <c r="A398" s="60"/>
      <c r="C398" s="47"/>
    </row>
    <row r="399" spans="1:3" ht="15.75" customHeight="1">
      <c r="A399" s="60"/>
      <c r="C399" s="47"/>
    </row>
    <row r="400" spans="1:3" ht="15.75" customHeight="1">
      <c r="A400" s="60"/>
      <c r="C400" s="47"/>
    </row>
    <row r="401" spans="1:3" ht="15.75" customHeight="1">
      <c r="A401" s="60"/>
      <c r="C401" s="47"/>
    </row>
    <row r="402" spans="1:3" ht="15.75" customHeight="1">
      <c r="A402" s="60"/>
      <c r="C402" s="47"/>
    </row>
    <row r="403" spans="1:3" ht="15.75" customHeight="1">
      <c r="A403" s="60"/>
      <c r="C403" s="47"/>
    </row>
    <row r="404" spans="1:3" ht="15.75" customHeight="1">
      <c r="A404" s="60"/>
      <c r="C404" s="47"/>
    </row>
    <row r="405" spans="1:3" ht="15.75" customHeight="1">
      <c r="A405" s="60"/>
      <c r="C405" s="47"/>
    </row>
    <row r="406" spans="1:3" ht="15.75" customHeight="1">
      <c r="A406" s="60"/>
      <c r="C406" s="47"/>
    </row>
    <row r="407" spans="1:3" ht="15.75" customHeight="1">
      <c r="A407" s="60"/>
      <c r="C407" s="47"/>
    </row>
    <row r="408" spans="1:3" ht="15.75" customHeight="1">
      <c r="A408" s="60"/>
      <c r="C408" s="47"/>
    </row>
    <row r="409" spans="1:3" ht="15.75" customHeight="1">
      <c r="A409" s="60"/>
      <c r="C409" s="47"/>
    </row>
    <row r="410" spans="1:3" ht="15.75" customHeight="1">
      <c r="A410" s="60"/>
      <c r="C410" s="47"/>
    </row>
    <row r="411" spans="1:3" ht="15.75" customHeight="1">
      <c r="A411" s="60"/>
      <c r="C411" s="47"/>
    </row>
    <row r="412" spans="1:3" ht="15.75" customHeight="1">
      <c r="A412" s="60"/>
      <c r="C412" s="47"/>
    </row>
    <row r="413" spans="1:3" ht="15.75" customHeight="1">
      <c r="A413" s="60"/>
      <c r="C413" s="47"/>
    </row>
    <row r="414" spans="1:3" ht="15.75" customHeight="1">
      <c r="A414" s="60"/>
      <c r="C414" s="47"/>
    </row>
    <row r="415" spans="1:3" ht="15.75" customHeight="1">
      <c r="A415" s="60"/>
      <c r="C415" s="47"/>
    </row>
    <row r="416" spans="1:3" ht="15.75" customHeight="1">
      <c r="A416" s="60"/>
      <c r="C416" s="47"/>
    </row>
    <row r="417" spans="1:3" ht="15.75" customHeight="1">
      <c r="A417" s="60"/>
      <c r="C417" s="47"/>
    </row>
    <row r="418" spans="1:3" ht="15.75" customHeight="1">
      <c r="A418" s="60"/>
      <c r="C418" s="47"/>
    </row>
    <row r="419" spans="1:3" ht="15.75" customHeight="1">
      <c r="A419" s="60"/>
      <c r="C419" s="47"/>
    </row>
    <row r="420" spans="1:3" ht="15.75" customHeight="1">
      <c r="A420" s="60"/>
      <c r="C420" s="47"/>
    </row>
    <row r="421" spans="1:3" ht="15.75" customHeight="1">
      <c r="A421" s="60"/>
      <c r="C421" s="47"/>
    </row>
    <row r="422" spans="1:3" ht="15.75" customHeight="1">
      <c r="A422" s="60"/>
      <c r="C422" s="47"/>
    </row>
    <row r="423" spans="1:3" ht="15.75" customHeight="1">
      <c r="A423" s="60"/>
      <c r="C423" s="47"/>
    </row>
    <row r="424" spans="1:3" ht="15.75" customHeight="1">
      <c r="A424" s="60"/>
      <c r="C424" s="47"/>
    </row>
    <row r="425" spans="1:3" ht="15.75" customHeight="1">
      <c r="A425" s="60"/>
      <c r="C425" s="47"/>
    </row>
    <row r="426" spans="1:3" ht="15.75" customHeight="1">
      <c r="A426" s="60"/>
      <c r="C426" s="47"/>
    </row>
    <row r="427" spans="1:3" ht="15.75" customHeight="1">
      <c r="A427" s="60"/>
      <c r="C427" s="47"/>
    </row>
    <row r="428" spans="1:3" ht="15.75" customHeight="1">
      <c r="A428" s="60"/>
      <c r="C428" s="47"/>
    </row>
    <row r="429" spans="1:3" ht="15.75" customHeight="1">
      <c r="A429" s="60"/>
      <c r="C429" s="47"/>
    </row>
    <row r="430" spans="1:3" ht="15.75" customHeight="1">
      <c r="A430" s="60"/>
      <c r="C430" s="47"/>
    </row>
    <row r="431" spans="1:3" ht="15.75" customHeight="1">
      <c r="A431" s="60"/>
      <c r="C431" s="47"/>
    </row>
    <row r="432" spans="1:3" ht="15.75" customHeight="1">
      <c r="A432" s="60"/>
      <c r="C432" s="47"/>
    </row>
    <row r="433" spans="1:3" ht="15.75" customHeight="1">
      <c r="A433" s="60"/>
      <c r="C433" s="47"/>
    </row>
    <row r="434" spans="1:3" ht="15.75" customHeight="1">
      <c r="A434" s="60"/>
      <c r="C434" s="47"/>
    </row>
    <row r="435" spans="1:3" ht="15.75" customHeight="1">
      <c r="A435" s="60"/>
      <c r="C435" s="47"/>
    </row>
    <row r="436" spans="1:3" ht="15.75" customHeight="1">
      <c r="A436" s="60"/>
      <c r="C436" s="47"/>
    </row>
    <row r="437" spans="1:3" ht="15.75" customHeight="1">
      <c r="A437" s="60"/>
      <c r="C437" s="47"/>
    </row>
    <row r="438" spans="1:3" ht="15.75" customHeight="1">
      <c r="A438" s="60"/>
      <c r="C438" s="47"/>
    </row>
    <row r="439" spans="1:3" ht="15.75" customHeight="1">
      <c r="A439" s="60"/>
      <c r="C439" s="47"/>
    </row>
    <row r="440" spans="1:3" ht="15.75" customHeight="1">
      <c r="A440" s="60"/>
      <c r="C440" s="47"/>
    </row>
    <row r="441" spans="1:3" ht="15.75" customHeight="1">
      <c r="A441" s="60"/>
      <c r="C441" s="47"/>
    </row>
    <row r="442" spans="1:3" ht="15.75" customHeight="1">
      <c r="A442" s="60"/>
      <c r="C442" s="47"/>
    </row>
    <row r="443" spans="1:3" ht="15.75" customHeight="1">
      <c r="A443" s="60"/>
      <c r="C443" s="47"/>
    </row>
    <row r="444" spans="1:3" ht="15.75" customHeight="1">
      <c r="A444" s="60"/>
      <c r="C444" s="47"/>
    </row>
    <row r="445" spans="1:3" ht="15.75" customHeight="1">
      <c r="A445" s="60"/>
      <c r="C445" s="47"/>
    </row>
    <row r="446" spans="1:3" ht="15.75" customHeight="1">
      <c r="A446" s="60"/>
      <c r="C446" s="47"/>
    </row>
    <row r="447" spans="1:3" ht="15.75" customHeight="1">
      <c r="A447" s="60"/>
      <c r="C447" s="47"/>
    </row>
    <row r="448" spans="1:3" ht="15.75" customHeight="1">
      <c r="A448" s="60"/>
      <c r="C448" s="47"/>
    </row>
    <row r="449" spans="1:3" ht="15.75" customHeight="1">
      <c r="A449" s="60"/>
      <c r="C449" s="47"/>
    </row>
    <row r="450" spans="1:3" ht="15.75" customHeight="1">
      <c r="A450" s="60"/>
      <c r="C450" s="47"/>
    </row>
    <row r="451" spans="1:3" ht="15.75" customHeight="1">
      <c r="A451" s="60"/>
      <c r="C451" s="47"/>
    </row>
    <row r="452" spans="1:3" ht="15.75" customHeight="1">
      <c r="A452" s="60"/>
      <c r="C452" s="47"/>
    </row>
    <row r="453" spans="1:3" ht="15.75" customHeight="1">
      <c r="A453" s="60"/>
      <c r="C453" s="47"/>
    </row>
    <row r="454" spans="1:3" ht="15.75" customHeight="1">
      <c r="A454" s="60"/>
      <c r="C454" s="47"/>
    </row>
    <row r="455" spans="1:3" ht="15.75" customHeight="1">
      <c r="A455" s="60"/>
      <c r="C455" s="47"/>
    </row>
    <row r="456" spans="1:3" ht="15.75" customHeight="1">
      <c r="A456" s="60"/>
      <c r="C456" s="47"/>
    </row>
    <row r="457" spans="1:3" ht="15.75" customHeight="1">
      <c r="A457" s="60"/>
      <c r="C457" s="47"/>
    </row>
    <row r="458" spans="1:3" ht="15.75" customHeight="1">
      <c r="A458" s="60"/>
      <c r="C458" s="47"/>
    </row>
    <row r="459" spans="1:3" ht="15.75" customHeight="1">
      <c r="A459" s="60"/>
      <c r="C459" s="47"/>
    </row>
    <row r="460" spans="1:3" ht="15.75" customHeight="1">
      <c r="A460" s="60"/>
      <c r="C460" s="47"/>
    </row>
    <row r="461" spans="1:3" ht="15.75" customHeight="1">
      <c r="A461" s="60"/>
      <c r="C461" s="47"/>
    </row>
    <row r="462" spans="1:3" ht="15.75" customHeight="1">
      <c r="A462" s="60"/>
      <c r="C462" s="47"/>
    </row>
    <row r="463" spans="1:3" ht="15.75" customHeight="1">
      <c r="A463" s="60"/>
      <c r="C463" s="47"/>
    </row>
    <row r="464" spans="1:3" ht="15.75" customHeight="1">
      <c r="A464" s="60"/>
      <c r="C464" s="47"/>
    </row>
    <row r="465" spans="1:3" ht="15.75" customHeight="1">
      <c r="A465" s="60"/>
      <c r="C465" s="47"/>
    </row>
    <row r="466" spans="1:3" ht="15.75" customHeight="1">
      <c r="A466" s="60"/>
      <c r="C466" s="47"/>
    </row>
    <row r="467" spans="1:3" ht="15.75" customHeight="1">
      <c r="A467" s="60"/>
      <c r="C467" s="47"/>
    </row>
    <row r="468" spans="1:3" ht="15.75" customHeight="1">
      <c r="A468" s="60"/>
      <c r="C468" s="47"/>
    </row>
    <row r="469" spans="1:3" ht="15.75" customHeight="1">
      <c r="A469" s="60"/>
      <c r="C469" s="47"/>
    </row>
    <row r="470" spans="1:3" ht="15.75" customHeight="1">
      <c r="A470" s="60"/>
      <c r="C470" s="47"/>
    </row>
    <row r="471" spans="1:3" ht="15.75" customHeight="1">
      <c r="A471" s="60"/>
      <c r="C471" s="47"/>
    </row>
    <row r="472" spans="1:3" ht="15.75" customHeight="1">
      <c r="A472" s="60"/>
      <c r="C472" s="47"/>
    </row>
    <row r="473" spans="1:3" ht="15.75" customHeight="1">
      <c r="A473" s="60"/>
      <c r="C473" s="47"/>
    </row>
    <row r="474" spans="1:3" ht="15.75" customHeight="1">
      <c r="A474" s="60"/>
      <c r="C474" s="47"/>
    </row>
    <row r="475" spans="1:3" ht="15.75" customHeight="1">
      <c r="A475" s="60"/>
      <c r="C475" s="47"/>
    </row>
    <row r="476" spans="1:3" ht="15.75" customHeight="1">
      <c r="A476" s="60"/>
      <c r="C476" s="47"/>
    </row>
    <row r="477" spans="1:3" ht="15.75" customHeight="1">
      <c r="A477" s="60"/>
      <c r="C477" s="47"/>
    </row>
    <row r="478" spans="1:3" ht="15.75" customHeight="1">
      <c r="A478" s="60"/>
      <c r="C478" s="47"/>
    </row>
    <row r="479" spans="1:3" ht="15.75" customHeight="1">
      <c r="A479" s="60"/>
      <c r="C479" s="47"/>
    </row>
    <row r="480" spans="1:3" ht="15.75" customHeight="1">
      <c r="A480" s="60"/>
      <c r="C480" s="47"/>
    </row>
    <row r="481" spans="1:3" ht="15.75" customHeight="1">
      <c r="A481" s="60"/>
      <c r="C481" s="47"/>
    </row>
    <row r="482" spans="1:3" ht="15.75" customHeight="1">
      <c r="A482" s="60"/>
      <c r="C482" s="47"/>
    </row>
    <row r="483" spans="1:3" ht="15.75" customHeight="1">
      <c r="A483" s="60"/>
      <c r="C483" s="47"/>
    </row>
    <row r="484" spans="1:3" ht="15.75" customHeight="1">
      <c r="A484" s="60"/>
      <c r="C484" s="47"/>
    </row>
    <row r="485" spans="1:3" ht="15.75" customHeight="1">
      <c r="A485" s="60"/>
      <c r="C485" s="47"/>
    </row>
    <row r="486" spans="1:3" ht="15.75" customHeight="1">
      <c r="A486" s="60"/>
      <c r="C486" s="47"/>
    </row>
    <row r="487" spans="1:3" ht="15.75" customHeight="1">
      <c r="A487" s="60"/>
      <c r="C487" s="47"/>
    </row>
    <row r="488" spans="1:3" ht="15.75" customHeight="1">
      <c r="A488" s="60"/>
      <c r="C488" s="47"/>
    </row>
    <row r="489" spans="1:3" ht="15.75" customHeight="1">
      <c r="A489" s="60"/>
      <c r="C489" s="47"/>
    </row>
    <row r="490" spans="1:3" ht="15.75" customHeight="1">
      <c r="A490" s="60"/>
      <c r="C490" s="47"/>
    </row>
    <row r="491" spans="1:3" ht="15.75" customHeight="1">
      <c r="A491" s="60"/>
      <c r="C491" s="47"/>
    </row>
    <row r="492" spans="1:3" ht="15.75" customHeight="1">
      <c r="A492" s="60"/>
      <c r="C492" s="47"/>
    </row>
    <row r="493" spans="1:3" ht="15.75" customHeight="1">
      <c r="A493" s="60"/>
      <c r="C493" s="47"/>
    </row>
    <row r="494" spans="1:3" ht="15.75" customHeight="1">
      <c r="A494" s="60"/>
      <c r="C494" s="47"/>
    </row>
    <row r="495" spans="1:3" ht="15.75" customHeight="1">
      <c r="A495" s="60"/>
      <c r="C495" s="47"/>
    </row>
    <row r="496" spans="1:3" ht="15.75" customHeight="1">
      <c r="A496" s="60"/>
      <c r="C496" s="47"/>
    </row>
    <row r="497" spans="1:3" ht="15.75" customHeight="1">
      <c r="A497" s="60"/>
      <c r="C497" s="47"/>
    </row>
    <row r="498" spans="1:3" ht="15.75" customHeight="1">
      <c r="A498" s="60"/>
      <c r="C498" s="47"/>
    </row>
    <row r="499" spans="1:3" ht="15.75" customHeight="1">
      <c r="A499" s="60"/>
      <c r="C499" s="47"/>
    </row>
    <row r="500" spans="1:3" ht="15.75" customHeight="1">
      <c r="A500" s="60"/>
      <c r="C500" s="47"/>
    </row>
    <row r="501" spans="1:3" ht="15.75" customHeight="1">
      <c r="A501" s="60"/>
      <c r="C501" s="47"/>
    </row>
    <row r="502" spans="1:3" ht="15.75" customHeight="1">
      <c r="A502" s="60"/>
      <c r="C502" s="47"/>
    </row>
    <row r="503" spans="1:3" ht="15.75" customHeight="1">
      <c r="A503" s="60"/>
      <c r="C503" s="47"/>
    </row>
    <row r="504" spans="1:3" ht="15.75" customHeight="1">
      <c r="A504" s="60"/>
      <c r="C504" s="47"/>
    </row>
    <row r="505" spans="1:3" ht="15.75" customHeight="1">
      <c r="A505" s="60"/>
      <c r="C505" s="47"/>
    </row>
    <row r="506" spans="1:3" ht="15.75" customHeight="1">
      <c r="A506" s="60"/>
      <c r="C506" s="47"/>
    </row>
    <row r="507" spans="1:3" ht="15.75" customHeight="1">
      <c r="A507" s="60"/>
      <c r="C507" s="47"/>
    </row>
    <row r="508" spans="1:3" ht="15.75" customHeight="1">
      <c r="A508" s="60"/>
      <c r="C508" s="47"/>
    </row>
    <row r="509" spans="1:3" ht="15.75" customHeight="1">
      <c r="A509" s="60"/>
      <c r="C509" s="47"/>
    </row>
    <row r="510" spans="1:3" ht="15.75" customHeight="1">
      <c r="A510" s="60"/>
      <c r="C510" s="47"/>
    </row>
    <row r="511" spans="1:3" ht="15.75" customHeight="1">
      <c r="A511" s="60"/>
      <c r="C511" s="47"/>
    </row>
    <row r="512" spans="1:3" ht="15.75" customHeight="1">
      <c r="A512" s="60"/>
      <c r="C512" s="47"/>
    </row>
    <row r="513" spans="1:3" ht="15.75" customHeight="1">
      <c r="A513" s="60"/>
      <c r="C513" s="47"/>
    </row>
    <row r="514" spans="1:3" ht="15.75" customHeight="1">
      <c r="A514" s="60"/>
      <c r="C514" s="47"/>
    </row>
    <row r="515" spans="1:3" ht="15.75" customHeight="1">
      <c r="A515" s="60"/>
      <c r="C515" s="47"/>
    </row>
    <row r="516" spans="1:3" ht="15.75" customHeight="1">
      <c r="A516" s="60"/>
      <c r="C516" s="47"/>
    </row>
    <row r="517" spans="1:3" ht="15.75" customHeight="1">
      <c r="A517" s="60"/>
      <c r="C517" s="47"/>
    </row>
    <row r="518" spans="1:3" ht="15.75" customHeight="1">
      <c r="A518" s="60"/>
      <c r="C518" s="47"/>
    </row>
    <row r="519" spans="1:3" ht="15.75" customHeight="1">
      <c r="A519" s="60"/>
      <c r="C519" s="47"/>
    </row>
    <row r="520" spans="1:3" ht="15.75" customHeight="1">
      <c r="A520" s="60"/>
      <c r="C520" s="47"/>
    </row>
    <row r="521" spans="1:3" ht="15.75" customHeight="1">
      <c r="A521" s="60"/>
      <c r="C521" s="47"/>
    </row>
    <row r="522" spans="1:3" ht="15.75" customHeight="1">
      <c r="A522" s="60"/>
      <c r="C522" s="47"/>
    </row>
    <row r="523" spans="1:3" ht="15.75" customHeight="1">
      <c r="A523" s="60"/>
      <c r="C523" s="47"/>
    </row>
    <row r="524" spans="1:3" ht="15.75" customHeight="1">
      <c r="A524" s="60"/>
      <c r="C524" s="47"/>
    </row>
    <row r="525" spans="1:3" ht="15.75" customHeight="1">
      <c r="A525" s="60"/>
      <c r="C525" s="47"/>
    </row>
    <row r="526" spans="1:3" ht="15.75" customHeight="1">
      <c r="A526" s="60"/>
      <c r="C526" s="47"/>
    </row>
    <row r="527" spans="1:3" ht="15.75" customHeight="1">
      <c r="A527" s="60"/>
      <c r="C527" s="47"/>
    </row>
    <row r="528" spans="1:3" ht="15.75" customHeight="1">
      <c r="A528" s="60"/>
      <c r="C528" s="47"/>
    </row>
    <row r="529" spans="1:3" ht="15.75" customHeight="1">
      <c r="A529" s="60"/>
      <c r="C529" s="47"/>
    </row>
    <row r="530" spans="1:3" ht="15.75" customHeight="1">
      <c r="A530" s="60"/>
      <c r="C530" s="47"/>
    </row>
    <row r="531" spans="1:3" ht="15.75" customHeight="1">
      <c r="A531" s="60"/>
      <c r="C531" s="47"/>
    </row>
    <row r="532" spans="1:3" ht="15.75" customHeight="1">
      <c r="A532" s="60"/>
      <c r="C532" s="47"/>
    </row>
    <row r="533" spans="1:3" ht="15.75" customHeight="1">
      <c r="A533" s="60"/>
      <c r="C533" s="47"/>
    </row>
    <row r="534" spans="1:3" ht="15.75" customHeight="1">
      <c r="A534" s="60"/>
      <c r="C534" s="47"/>
    </row>
    <row r="535" spans="1:3" ht="15.75" customHeight="1">
      <c r="A535" s="60"/>
      <c r="C535" s="47"/>
    </row>
    <row r="536" spans="1:3" ht="15.75" customHeight="1">
      <c r="A536" s="60"/>
      <c r="C536" s="47"/>
    </row>
    <row r="537" spans="1:3" ht="15.75" customHeight="1">
      <c r="A537" s="60"/>
      <c r="C537" s="47"/>
    </row>
    <row r="538" spans="1:3" ht="15.75" customHeight="1">
      <c r="A538" s="60"/>
      <c r="C538" s="47"/>
    </row>
    <row r="539" spans="1:3" ht="15.75" customHeight="1">
      <c r="A539" s="60"/>
      <c r="C539" s="47"/>
    </row>
    <row r="540" spans="1:3" ht="15.75" customHeight="1">
      <c r="A540" s="60"/>
      <c r="C540" s="47"/>
    </row>
    <row r="541" spans="1:3" ht="15.75" customHeight="1">
      <c r="A541" s="60"/>
      <c r="C541" s="47"/>
    </row>
    <row r="542" spans="1:3" ht="15.75" customHeight="1">
      <c r="A542" s="60"/>
      <c r="C542" s="47"/>
    </row>
    <row r="543" spans="1:3" ht="15.75" customHeight="1">
      <c r="A543" s="60"/>
      <c r="C543" s="47"/>
    </row>
    <row r="544" spans="1:3" ht="15.75" customHeight="1">
      <c r="A544" s="60"/>
      <c r="C544" s="47"/>
    </row>
    <row r="545" spans="1:3" ht="15.75" customHeight="1">
      <c r="A545" s="60"/>
      <c r="C545" s="47"/>
    </row>
    <row r="546" spans="1:3" ht="15.75" customHeight="1">
      <c r="A546" s="60"/>
      <c r="C546" s="47"/>
    </row>
    <row r="547" spans="1:3" ht="15.75" customHeight="1">
      <c r="A547" s="60"/>
      <c r="C547" s="47"/>
    </row>
    <row r="548" spans="1:3" ht="15.75" customHeight="1">
      <c r="A548" s="60"/>
      <c r="C548" s="47"/>
    </row>
    <row r="549" spans="1:3" ht="15.75" customHeight="1">
      <c r="A549" s="60"/>
      <c r="C549" s="47"/>
    </row>
    <row r="550" spans="1:3" ht="15.75" customHeight="1">
      <c r="A550" s="60"/>
      <c r="C550" s="47"/>
    </row>
    <row r="551" spans="1:3" ht="15.75" customHeight="1">
      <c r="A551" s="60"/>
      <c r="C551" s="47"/>
    </row>
    <row r="552" spans="1:3" ht="15.75" customHeight="1">
      <c r="A552" s="60"/>
      <c r="C552" s="47"/>
    </row>
    <row r="553" spans="1:3" ht="15.75" customHeight="1">
      <c r="A553" s="60"/>
      <c r="C553" s="47"/>
    </row>
    <row r="554" spans="1:3" ht="15.75" customHeight="1">
      <c r="A554" s="60"/>
      <c r="C554" s="47"/>
    </row>
    <row r="555" spans="1:3" ht="15.75" customHeight="1">
      <c r="A555" s="60"/>
      <c r="C555" s="47"/>
    </row>
    <row r="556" spans="1:3" ht="15.75" customHeight="1">
      <c r="A556" s="60"/>
      <c r="C556" s="47"/>
    </row>
    <row r="557" spans="1:3" ht="15.75" customHeight="1">
      <c r="A557" s="60"/>
      <c r="C557" s="47"/>
    </row>
    <row r="558" spans="1:3" ht="15.75" customHeight="1">
      <c r="A558" s="60"/>
      <c r="C558" s="47"/>
    </row>
    <row r="559" spans="1:3" ht="15.75" customHeight="1">
      <c r="A559" s="60"/>
      <c r="C559" s="47"/>
    </row>
    <row r="560" spans="1:3" ht="15.75" customHeight="1">
      <c r="A560" s="60"/>
      <c r="C560" s="47"/>
    </row>
    <row r="561" spans="1:3" ht="15.75" customHeight="1">
      <c r="A561" s="60"/>
      <c r="C561" s="47"/>
    </row>
    <row r="562" spans="1:3" ht="15.75" customHeight="1">
      <c r="A562" s="60"/>
      <c r="C562" s="47"/>
    </row>
    <row r="563" spans="1:3" ht="15.75" customHeight="1">
      <c r="A563" s="60"/>
      <c r="C563" s="47"/>
    </row>
    <row r="564" spans="1:3" ht="15.75" customHeight="1">
      <c r="A564" s="60"/>
      <c r="C564" s="47"/>
    </row>
    <row r="565" spans="1:3" ht="15.75" customHeight="1">
      <c r="A565" s="60"/>
      <c r="C565" s="47"/>
    </row>
    <row r="566" spans="1:3" ht="15.75" customHeight="1">
      <c r="A566" s="60"/>
      <c r="C566" s="47"/>
    </row>
    <row r="567" spans="1:3" ht="15.75" customHeight="1">
      <c r="A567" s="60"/>
      <c r="C567" s="47"/>
    </row>
    <row r="568" spans="1:3" ht="15.75" customHeight="1">
      <c r="A568" s="60"/>
      <c r="C568" s="47"/>
    </row>
    <row r="569" spans="1:3" ht="15.75" customHeight="1">
      <c r="A569" s="60"/>
      <c r="C569" s="47"/>
    </row>
    <row r="570" spans="1:3" ht="15.75" customHeight="1">
      <c r="A570" s="60"/>
      <c r="C570" s="47"/>
    </row>
    <row r="571" spans="1:3" ht="15.75" customHeight="1">
      <c r="A571" s="60"/>
      <c r="C571" s="47"/>
    </row>
    <row r="572" spans="1:3" ht="15.75" customHeight="1">
      <c r="A572" s="60"/>
      <c r="C572" s="47"/>
    </row>
    <row r="573" spans="1:3" ht="15.75" customHeight="1">
      <c r="A573" s="60"/>
      <c r="C573" s="47"/>
    </row>
    <row r="574" spans="1:3" ht="15.75" customHeight="1">
      <c r="A574" s="60"/>
      <c r="C574" s="47"/>
    </row>
    <row r="575" spans="1:3" ht="15.75" customHeight="1">
      <c r="A575" s="60"/>
      <c r="C575" s="47"/>
    </row>
    <row r="576" spans="1:3" ht="15.75" customHeight="1">
      <c r="A576" s="60"/>
      <c r="C576" s="47"/>
    </row>
    <row r="577" spans="1:3" ht="15.75" customHeight="1">
      <c r="A577" s="60"/>
      <c r="C577" s="47"/>
    </row>
    <row r="578" spans="1:3" ht="15.75" customHeight="1">
      <c r="A578" s="60"/>
      <c r="C578" s="47"/>
    </row>
    <row r="579" spans="1:3" ht="15.75" customHeight="1">
      <c r="A579" s="60"/>
      <c r="C579" s="47"/>
    </row>
    <row r="580" spans="1:3" ht="15.75" customHeight="1">
      <c r="A580" s="60"/>
      <c r="C580" s="47"/>
    </row>
    <row r="581" spans="1:3" ht="15.75" customHeight="1">
      <c r="A581" s="60"/>
      <c r="C581" s="47"/>
    </row>
    <row r="582" spans="1:3" ht="15.75" customHeight="1">
      <c r="A582" s="60"/>
      <c r="C582" s="47"/>
    </row>
    <row r="583" spans="1:3" ht="15.75" customHeight="1">
      <c r="A583" s="60"/>
      <c r="C583" s="47"/>
    </row>
    <row r="584" spans="1:3" ht="15.75" customHeight="1">
      <c r="A584" s="60"/>
      <c r="C584" s="47"/>
    </row>
    <row r="585" spans="1:3" ht="15.75" customHeight="1">
      <c r="A585" s="60"/>
      <c r="C585" s="47"/>
    </row>
    <row r="586" spans="1:3" ht="15.75" customHeight="1">
      <c r="A586" s="60"/>
      <c r="C586" s="47"/>
    </row>
    <row r="587" spans="1:3" ht="15.75" customHeight="1">
      <c r="A587" s="60"/>
      <c r="C587" s="47"/>
    </row>
    <row r="588" spans="1:3" ht="15.75" customHeight="1">
      <c r="A588" s="60"/>
      <c r="C588" s="47"/>
    </row>
    <row r="589" spans="1:3" ht="15.75" customHeight="1">
      <c r="A589" s="60"/>
      <c r="C589" s="47"/>
    </row>
    <row r="590" spans="1:3" ht="15.75" customHeight="1">
      <c r="A590" s="60"/>
      <c r="C590" s="47"/>
    </row>
    <row r="591" spans="1:3" ht="15.75" customHeight="1">
      <c r="A591" s="60"/>
      <c r="C591" s="47"/>
    </row>
    <row r="592" spans="1:3" ht="15.75" customHeight="1">
      <c r="A592" s="60"/>
      <c r="C592" s="47"/>
    </row>
    <row r="593" spans="1:3" ht="15.75" customHeight="1">
      <c r="A593" s="60"/>
      <c r="C593" s="47"/>
    </row>
    <row r="594" spans="1:3" ht="15.75" customHeight="1">
      <c r="A594" s="60"/>
      <c r="C594" s="47"/>
    </row>
    <row r="595" spans="1:3" ht="15.75" customHeight="1">
      <c r="A595" s="60"/>
      <c r="C595" s="47"/>
    </row>
    <row r="596" spans="1:3" ht="15.75" customHeight="1">
      <c r="A596" s="60"/>
      <c r="C596" s="47"/>
    </row>
    <row r="597" spans="1:3" ht="15.75" customHeight="1">
      <c r="A597" s="60"/>
      <c r="C597" s="47"/>
    </row>
    <row r="598" spans="1:3" ht="15.75" customHeight="1">
      <c r="A598" s="60"/>
      <c r="C598" s="47"/>
    </row>
    <row r="599" spans="1:3" ht="15.75" customHeight="1">
      <c r="A599" s="60"/>
      <c r="C599" s="47"/>
    </row>
    <row r="600" spans="1:3" ht="15.75" customHeight="1">
      <c r="A600" s="60"/>
      <c r="C600" s="47"/>
    </row>
    <row r="601" spans="1:3" ht="15.75" customHeight="1">
      <c r="A601" s="60"/>
      <c r="C601" s="47"/>
    </row>
    <row r="602" spans="1:3" ht="15.75" customHeight="1">
      <c r="A602" s="60"/>
      <c r="C602" s="47"/>
    </row>
    <row r="603" spans="1:3" ht="15.75" customHeight="1">
      <c r="A603" s="60"/>
      <c r="C603" s="47"/>
    </row>
    <row r="604" spans="1:3" ht="15.75" customHeight="1">
      <c r="A604" s="60"/>
      <c r="C604" s="47"/>
    </row>
    <row r="605" spans="1:3" ht="15.75" customHeight="1">
      <c r="A605" s="60"/>
      <c r="C605" s="47"/>
    </row>
    <row r="606" spans="1:3" ht="15.75" customHeight="1">
      <c r="A606" s="60"/>
      <c r="C606" s="47"/>
    </row>
    <row r="607" spans="1:3" ht="15.75" customHeight="1">
      <c r="A607" s="60"/>
      <c r="C607" s="47"/>
    </row>
    <row r="608" spans="1:3" ht="15.75" customHeight="1">
      <c r="A608" s="60"/>
      <c r="C608" s="47"/>
    </row>
    <row r="609" spans="1:3" ht="15.75" customHeight="1">
      <c r="A609" s="60"/>
      <c r="C609" s="47"/>
    </row>
    <row r="610" spans="1:3" ht="15.75" customHeight="1">
      <c r="A610" s="60"/>
      <c r="C610" s="47"/>
    </row>
    <row r="611" spans="1:3" ht="15.75" customHeight="1">
      <c r="A611" s="60"/>
      <c r="C611" s="47"/>
    </row>
    <row r="612" spans="1:3" ht="15.75" customHeight="1">
      <c r="A612" s="60"/>
      <c r="C612" s="47"/>
    </row>
    <row r="613" spans="1:3" ht="15.75" customHeight="1">
      <c r="A613" s="60"/>
      <c r="C613" s="47"/>
    </row>
    <row r="614" spans="1:3" ht="15.75" customHeight="1">
      <c r="A614" s="60"/>
      <c r="C614" s="47"/>
    </row>
    <row r="615" spans="1:3" ht="15.75" customHeight="1">
      <c r="A615" s="60"/>
      <c r="C615" s="47"/>
    </row>
    <row r="616" spans="1:3" ht="15.75" customHeight="1">
      <c r="A616" s="60"/>
      <c r="C616" s="47"/>
    </row>
    <row r="617" spans="1:3" ht="15.75" customHeight="1">
      <c r="A617" s="60"/>
      <c r="C617" s="47"/>
    </row>
    <row r="618" spans="1:3" ht="15.75" customHeight="1">
      <c r="A618" s="60"/>
      <c r="C618" s="47"/>
    </row>
    <row r="619" spans="1:3" ht="15.75" customHeight="1">
      <c r="A619" s="60"/>
      <c r="C619" s="47"/>
    </row>
    <row r="620" spans="1:3" ht="15.75" customHeight="1">
      <c r="A620" s="60"/>
      <c r="C620" s="47"/>
    </row>
    <row r="621" spans="1:3" ht="15.75" customHeight="1">
      <c r="A621" s="60"/>
      <c r="C621" s="47"/>
    </row>
    <row r="622" spans="1:3" ht="15.75" customHeight="1">
      <c r="A622" s="60"/>
      <c r="C622" s="47"/>
    </row>
    <row r="623" spans="1:3" ht="15.75" customHeight="1">
      <c r="A623" s="60"/>
      <c r="C623" s="47"/>
    </row>
    <row r="624" spans="1:3" ht="15.75" customHeight="1">
      <c r="A624" s="60"/>
      <c r="C624" s="47"/>
    </row>
    <row r="625" spans="1:3" ht="15.75" customHeight="1">
      <c r="A625" s="60"/>
      <c r="C625" s="47"/>
    </row>
    <row r="626" spans="1:3" ht="15.75" customHeight="1">
      <c r="A626" s="60"/>
      <c r="C626" s="47"/>
    </row>
    <row r="627" spans="1:3" ht="15.75" customHeight="1">
      <c r="A627" s="60"/>
      <c r="C627" s="47"/>
    </row>
    <row r="628" spans="1:3" ht="15.75" customHeight="1">
      <c r="A628" s="60"/>
      <c r="C628" s="47"/>
    </row>
    <row r="629" spans="1:3" ht="15.75" customHeight="1">
      <c r="A629" s="60"/>
      <c r="C629" s="47"/>
    </row>
    <row r="630" spans="1:3" ht="15.75" customHeight="1">
      <c r="A630" s="60"/>
      <c r="C630" s="47"/>
    </row>
    <row r="631" spans="1:3" ht="15.75" customHeight="1">
      <c r="A631" s="60"/>
      <c r="C631" s="47"/>
    </row>
    <row r="632" spans="1:3" ht="15.75" customHeight="1">
      <c r="A632" s="60"/>
      <c r="C632" s="47"/>
    </row>
    <row r="633" spans="1:3" ht="15.75" customHeight="1">
      <c r="A633" s="60"/>
      <c r="C633" s="47"/>
    </row>
    <row r="634" spans="1:3" ht="15.75" customHeight="1">
      <c r="A634" s="60"/>
      <c r="C634" s="47"/>
    </row>
    <row r="635" spans="1:3" ht="15.75" customHeight="1">
      <c r="A635" s="60"/>
      <c r="C635" s="47"/>
    </row>
    <row r="636" spans="1:3" ht="15.75" customHeight="1">
      <c r="A636" s="60"/>
      <c r="C636" s="47"/>
    </row>
    <row r="637" spans="1:3" ht="15.75" customHeight="1">
      <c r="A637" s="60"/>
      <c r="C637" s="47"/>
    </row>
    <row r="638" spans="1:3" ht="15.75" customHeight="1">
      <c r="A638" s="60"/>
      <c r="C638" s="47"/>
    </row>
    <row r="639" spans="1:3" ht="15.75" customHeight="1">
      <c r="A639" s="60"/>
      <c r="C639" s="47"/>
    </row>
    <row r="640" spans="1:3" ht="15.75" customHeight="1">
      <c r="A640" s="60"/>
      <c r="C640" s="47"/>
    </row>
    <row r="641" spans="1:3" ht="15.75" customHeight="1">
      <c r="A641" s="60"/>
      <c r="C641" s="47"/>
    </row>
    <row r="642" spans="1:3" ht="15.75" customHeight="1">
      <c r="A642" s="60"/>
      <c r="C642" s="47"/>
    </row>
    <row r="643" spans="1:3" ht="15.75" customHeight="1">
      <c r="A643" s="60"/>
      <c r="C643" s="47"/>
    </row>
    <row r="644" spans="1:3" ht="15.75" customHeight="1">
      <c r="A644" s="60"/>
      <c r="C644" s="47"/>
    </row>
    <row r="645" spans="1:3" ht="15.75" customHeight="1">
      <c r="A645" s="60"/>
      <c r="C645" s="47"/>
    </row>
    <row r="646" spans="1:3" ht="15.75" customHeight="1">
      <c r="A646" s="60"/>
      <c r="C646" s="47"/>
    </row>
    <row r="647" spans="1:3" ht="15.75" customHeight="1">
      <c r="A647" s="60"/>
      <c r="C647" s="47"/>
    </row>
    <row r="648" spans="1:3" ht="15.75" customHeight="1">
      <c r="A648" s="60"/>
      <c r="C648" s="47"/>
    </row>
    <row r="649" spans="1:3" ht="15.75" customHeight="1">
      <c r="A649" s="60"/>
      <c r="C649" s="47"/>
    </row>
    <row r="650" spans="1:3" ht="15.75" customHeight="1">
      <c r="A650" s="60"/>
      <c r="C650" s="47"/>
    </row>
    <row r="651" spans="1:3" ht="15.75" customHeight="1">
      <c r="A651" s="60"/>
      <c r="C651" s="47"/>
    </row>
    <row r="652" spans="1:3" ht="15.75" customHeight="1">
      <c r="A652" s="60"/>
      <c r="C652" s="47"/>
    </row>
    <row r="653" spans="1:3" ht="15.75" customHeight="1">
      <c r="A653" s="60"/>
      <c r="C653" s="47"/>
    </row>
    <row r="654" spans="1:3" ht="15.75" customHeight="1">
      <c r="A654" s="60"/>
      <c r="C654" s="47"/>
    </row>
    <row r="655" spans="1:3" ht="15.75" customHeight="1">
      <c r="A655" s="60"/>
      <c r="C655" s="47"/>
    </row>
    <row r="656" spans="1:3" ht="15.75" customHeight="1">
      <c r="A656" s="60"/>
      <c r="C656" s="47"/>
    </row>
    <row r="657" spans="1:3" ht="15.75" customHeight="1">
      <c r="A657" s="60"/>
      <c r="C657" s="47"/>
    </row>
    <row r="658" spans="1:3" ht="15.75" customHeight="1">
      <c r="A658" s="60"/>
      <c r="C658" s="47"/>
    </row>
    <row r="659" spans="1:3" ht="15.75" customHeight="1">
      <c r="A659" s="60"/>
      <c r="C659" s="47"/>
    </row>
    <row r="660" spans="1:3" ht="15.75" customHeight="1">
      <c r="A660" s="60"/>
      <c r="C660" s="47"/>
    </row>
    <row r="661" spans="1:3" ht="15.75" customHeight="1">
      <c r="A661" s="60"/>
      <c r="C661" s="47"/>
    </row>
    <row r="662" spans="1:3" ht="15.75" customHeight="1">
      <c r="A662" s="60"/>
      <c r="C662" s="47"/>
    </row>
    <row r="663" spans="1:3" ht="15.75" customHeight="1">
      <c r="A663" s="60"/>
      <c r="C663" s="47"/>
    </row>
    <row r="664" spans="1:3" ht="15.75" customHeight="1">
      <c r="A664" s="60"/>
      <c r="C664" s="47"/>
    </row>
    <row r="665" spans="1:3" ht="15.75" customHeight="1">
      <c r="A665" s="60"/>
      <c r="C665" s="47"/>
    </row>
    <row r="666" spans="1:3" ht="15.75" customHeight="1">
      <c r="A666" s="60"/>
      <c r="C666" s="47"/>
    </row>
    <row r="667" spans="1:3" ht="15.75" customHeight="1">
      <c r="A667" s="60"/>
      <c r="C667" s="47"/>
    </row>
    <row r="668" spans="1:3" ht="15.75" customHeight="1">
      <c r="A668" s="60"/>
      <c r="C668" s="47"/>
    </row>
    <row r="669" spans="1:3" ht="15.75" customHeight="1">
      <c r="A669" s="60"/>
      <c r="C669" s="47"/>
    </row>
    <row r="670" spans="1:3" ht="15.75" customHeight="1">
      <c r="A670" s="60"/>
      <c r="C670" s="47"/>
    </row>
    <row r="671" spans="1:3" ht="15.75" customHeight="1">
      <c r="A671" s="60"/>
      <c r="C671" s="47"/>
    </row>
    <row r="672" spans="1:3" ht="15.75" customHeight="1">
      <c r="A672" s="60"/>
      <c r="C672" s="47"/>
    </row>
    <row r="673" spans="1:3" ht="15.75" customHeight="1">
      <c r="A673" s="60"/>
      <c r="C673" s="47"/>
    </row>
    <row r="674" spans="1:3" ht="15.75" customHeight="1">
      <c r="A674" s="60"/>
      <c r="C674" s="47"/>
    </row>
    <row r="675" spans="1:3" ht="15.75" customHeight="1">
      <c r="A675" s="60"/>
      <c r="C675" s="47"/>
    </row>
    <row r="676" spans="1:3" ht="15.75" customHeight="1">
      <c r="A676" s="60"/>
      <c r="C676" s="47"/>
    </row>
    <row r="677" spans="1:3" ht="15.75" customHeight="1">
      <c r="A677" s="60"/>
      <c r="C677" s="47"/>
    </row>
    <row r="678" spans="1:3" ht="15.75" customHeight="1">
      <c r="A678" s="60"/>
      <c r="C678" s="47"/>
    </row>
    <row r="679" spans="1:3" ht="15.75" customHeight="1">
      <c r="A679" s="60"/>
      <c r="C679" s="47"/>
    </row>
    <row r="680" spans="1:3" ht="15.75" customHeight="1">
      <c r="A680" s="60"/>
      <c r="C680" s="47"/>
    </row>
    <row r="681" spans="1:3" ht="15.75" customHeight="1">
      <c r="A681" s="60"/>
      <c r="C681" s="47"/>
    </row>
    <row r="682" spans="1:3" ht="15.75" customHeight="1">
      <c r="A682" s="60"/>
      <c r="C682" s="47"/>
    </row>
    <row r="683" spans="1:3" ht="15.75" customHeight="1">
      <c r="A683" s="60"/>
      <c r="C683" s="47"/>
    </row>
    <row r="684" spans="1:3" ht="15.75" customHeight="1">
      <c r="A684" s="60"/>
      <c r="C684" s="47"/>
    </row>
    <row r="685" spans="1:3" ht="15.75" customHeight="1">
      <c r="A685" s="60"/>
      <c r="C685" s="47"/>
    </row>
    <row r="686" spans="1:3" ht="15.75" customHeight="1">
      <c r="A686" s="60"/>
      <c r="C686" s="47"/>
    </row>
    <row r="687" spans="1:3" ht="15.75" customHeight="1">
      <c r="A687" s="60"/>
      <c r="C687" s="47"/>
    </row>
    <row r="688" spans="1:3" ht="15.75" customHeight="1">
      <c r="A688" s="60"/>
      <c r="C688" s="47"/>
    </row>
    <row r="689" spans="1:3" ht="15.75" customHeight="1">
      <c r="A689" s="60"/>
      <c r="C689" s="47"/>
    </row>
    <row r="690" spans="1:3" ht="15.75" customHeight="1">
      <c r="A690" s="60"/>
      <c r="C690" s="47"/>
    </row>
    <row r="691" spans="1:3" ht="15.75" customHeight="1">
      <c r="A691" s="60"/>
      <c r="C691" s="47"/>
    </row>
    <row r="692" spans="1:3" ht="15.75" customHeight="1">
      <c r="A692" s="60"/>
      <c r="C692" s="47"/>
    </row>
    <row r="693" spans="1:3" ht="15.75" customHeight="1">
      <c r="A693" s="60"/>
      <c r="C693" s="47"/>
    </row>
    <row r="694" spans="1:3" ht="15.75" customHeight="1">
      <c r="A694" s="60"/>
      <c r="C694" s="47"/>
    </row>
    <row r="695" spans="1:3" ht="15.75" customHeight="1">
      <c r="A695" s="60"/>
      <c r="C695" s="47"/>
    </row>
    <row r="696" spans="1:3" ht="15.75" customHeight="1">
      <c r="A696" s="60"/>
      <c r="C696" s="47"/>
    </row>
    <row r="697" spans="1:3" ht="15.75" customHeight="1">
      <c r="A697" s="60"/>
      <c r="C697" s="47"/>
    </row>
    <row r="698" spans="1:3" ht="15.75" customHeight="1">
      <c r="A698" s="60"/>
      <c r="C698" s="47"/>
    </row>
    <row r="699" spans="1:3" ht="15.75" customHeight="1">
      <c r="A699" s="60"/>
      <c r="C699" s="47"/>
    </row>
    <row r="700" spans="1:3" ht="15.75" customHeight="1">
      <c r="A700" s="60"/>
      <c r="C700" s="47"/>
    </row>
    <row r="701" spans="1:3" ht="15.75" customHeight="1">
      <c r="A701" s="60"/>
      <c r="C701" s="47"/>
    </row>
    <row r="702" spans="1:3" ht="15.75" customHeight="1">
      <c r="A702" s="60"/>
      <c r="C702" s="47"/>
    </row>
    <row r="703" spans="1:3" ht="15.75" customHeight="1">
      <c r="A703" s="60"/>
      <c r="C703" s="47"/>
    </row>
    <row r="704" spans="1:3" ht="15.75" customHeight="1">
      <c r="A704" s="60"/>
      <c r="C704" s="47"/>
    </row>
    <row r="705" spans="1:3" ht="15.75" customHeight="1">
      <c r="A705" s="60"/>
      <c r="C705" s="47"/>
    </row>
    <row r="706" spans="1:3" ht="15.75" customHeight="1">
      <c r="A706" s="60"/>
      <c r="C706" s="47"/>
    </row>
    <row r="707" spans="1:3" ht="15.75" customHeight="1">
      <c r="A707" s="60"/>
      <c r="C707" s="47"/>
    </row>
    <row r="708" spans="1:3" ht="15.75" customHeight="1">
      <c r="A708" s="60"/>
      <c r="C708" s="47"/>
    </row>
    <row r="709" spans="1:3" ht="15.75" customHeight="1">
      <c r="A709" s="60"/>
      <c r="C709" s="47"/>
    </row>
    <row r="710" spans="1:3" ht="15.75" customHeight="1">
      <c r="A710" s="60"/>
      <c r="C710" s="47"/>
    </row>
    <row r="711" spans="1:3" ht="15.75" customHeight="1">
      <c r="A711" s="60"/>
      <c r="C711" s="47"/>
    </row>
    <row r="712" spans="1:3" ht="15.75" customHeight="1">
      <c r="A712" s="60"/>
      <c r="C712" s="47"/>
    </row>
    <row r="713" spans="1:3" ht="15.75" customHeight="1">
      <c r="A713" s="60"/>
      <c r="C713" s="47"/>
    </row>
    <row r="714" spans="1:3" ht="15.75" customHeight="1">
      <c r="A714" s="60"/>
      <c r="C714" s="47"/>
    </row>
    <row r="715" spans="1:3" ht="15.75" customHeight="1">
      <c r="A715" s="60"/>
      <c r="C715" s="47"/>
    </row>
    <row r="716" spans="1:3" ht="15.75" customHeight="1">
      <c r="A716" s="60"/>
      <c r="C716" s="47"/>
    </row>
    <row r="717" spans="1:3" ht="15.75" customHeight="1">
      <c r="A717" s="60"/>
      <c r="C717" s="47"/>
    </row>
    <row r="718" spans="1:3" ht="15.75" customHeight="1">
      <c r="A718" s="60"/>
      <c r="C718" s="47"/>
    </row>
    <row r="719" spans="1:3" ht="15.75" customHeight="1">
      <c r="A719" s="60"/>
      <c r="C719" s="47"/>
    </row>
    <row r="720" spans="1:3" ht="15.75" customHeight="1">
      <c r="A720" s="60"/>
      <c r="C720" s="47"/>
    </row>
    <row r="721" spans="1:3" ht="15.75" customHeight="1">
      <c r="A721" s="60"/>
      <c r="C721" s="47"/>
    </row>
    <row r="722" spans="1:3" ht="15.75" customHeight="1">
      <c r="A722" s="60"/>
      <c r="C722" s="47"/>
    </row>
    <row r="723" spans="1:3" ht="15.75" customHeight="1">
      <c r="A723" s="60"/>
      <c r="C723" s="47"/>
    </row>
    <row r="724" spans="1:3" ht="15.75" customHeight="1">
      <c r="A724" s="60"/>
      <c r="C724" s="47"/>
    </row>
    <row r="725" spans="1:3" ht="15.75" customHeight="1">
      <c r="A725" s="60"/>
      <c r="C725" s="47"/>
    </row>
    <row r="726" spans="1:3" ht="15.75" customHeight="1">
      <c r="A726" s="60"/>
      <c r="C726" s="47"/>
    </row>
    <row r="727" spans="1:3" ht="15.75" customHeight="1">
      <c r="A727" s="60"/>
      <c r="C727" s="47"/>
    </row>
    <row r="728" spans="1:3" ht="15.75" customHeight="1">
      <c r="A728" s="60"/>
      <c r="C728" s="47"/>
    </row>
    <row r="729" spans="1:3" ht="15.75" customHeight="1">
      <c r="A729" s="60"/>
      <c r="C729" s="47"/>
    </row>
    <row r="730" spans="1:3" ht="15.75" customHeight="1">
      <c r="A730" s="60"/>
      <c r="C730" s="47"/>
    </row>
    <row r="731" spans="1:3" ht="15.75" customHeight="1">
      <c r="A731" s="60"/>
      <c r="C731" s="47"/>
    </row>
    <row r="732" spans="1:3" ht="15.75" customHeight="1">
      <c r="A732" s="60"/>
      <c r="C732" s="47"/>
    </row>
    <row r="733" spans="1:3" ht="15.75" customHeight="1">
      <c r="A733" s="60"/>
      <c r="C733" s="47"/>
    </row>
    <row r="734" spans="1:3" ht="15.75" customHeight="1">
      <c r="A734" s="60"/>
      <c r="C734" s="47"/>
    </row>
    <row r="735" spans="1:3" ht="15.75" customHeight="1">
      <c r="A735" s="60"/>
      <c r="C735" s="47"/>
    </row>
    <row r="736" spans="1:3" ht="15.75" customHeight="1">
      <c r="A736" s="60"/>
      <c r="C736" s="47"/>
    </row>
    <row r="737" spans="1:3" ht="15.75" customHeight="1">
      <c r="A737" s="60"/>
      <c r="C737" s="47"/>
    </row>
    <row r="738" spans="1:3" ht="15.75" customHeight="1">
      <c r="A738" s="60"/>
      <c r="C738" s="47"/>
    </row>
    <row r="739" spans="1:3" ht="15.75" customHeight="1">
      <c r="A739" s="60"/>
      <c r="C739" s="47"/>
    </row>
    <row r="740" spans="1:3" ht="15.75" customHeight="1">
      <c r="A740" s="60"/>
      <c r="C740" s="47"/>
    </row>
    <row r="741" spans="1:3" ht="15.75" customHeight="1">
      <c r="A741" s="60"/>
      <c r="C741" s="47"/>
    </row>
    <row r="742" spans="1:3" ht="15.75" customHeight="1">
      <c r="A742" s="60"/>
      <c r="C742" s="47"/>
    </row>
    <row r="743" spans="1:3" ht="15.75" customHeight="1">
      <c r="A743" s="60"/>
      <c r="C743" s="47"/>
    </row>
    <row r="744" spans="1:3" ht="15.75" customHeight="1">
      <c r="A744" s="60"/>
      <c r="C744" s="47"/>
    </row>
    <row r="745" spans="1:3" ht="15.75" customHeight="1">
      <c r="A745" s="60"/>
      <c r="C745" s="47"/>
    </row>
    <row r="746" spans="1:3" ht="15.75" customHeight="1">
      <c r="A746" s="60"/>
      <c r="C746" s="47"/>
    </row>
    <row r="747" spans="1:3" ht="15.75" customHeight="1">
      <c r="A747" s="60"/>
      <c r="C747" s="47"/>
    </row>
    <row r="748" spans="1:3" ht="15.75" customHeight="1">
      <c r="A748" s="60"/>
      <c r="C748" s="47"/>
    </row>
    <row r="749" spans="1:3" ht="15.75" customHeight="1">
      <c r="A749" s="60"/>
      <c r="C749" s="47"/>
    </row>
    <row r="750" spans="1:3" ht="15.75" customHeight="1">
      <c r="A750" s="60"/>
      <c r="C750" s="47"/>
    </row>
    <row r="751" spans="1:3" ht="15.75" customHeight="1">
      <c r="A751" s="60"/>
      <c r="C751" s="47"/>
    </row>
    <row r="752" spans="1:3" ht="15.75" customHeight="1">
      <c r="A752" s="60"/>
      <c r="C752" s="47"/>
    </row>
    <row r="753" spans="1:3" ht="15.75" customHeight="1">
      <c r="A753" s="60"/>
      <c r="C753" s="47"/>
    </row>
    <row r="754" spans="1:3" ht="15.75" customHeight="1">
      <c r="A754" s="60"/>
      <c r="C754" s="47"/>
    </row>
    <row r="755" spans="1:3" ht="15.75" customHeight="1">
      <c r="A755" s="60"/>
      <c r="C755" s="47"/>
    </row>
    <row r="756" spans="1:3" ht="15.75" customHeight="1">
      <c r="A756" s="60"/>
      <c r="C756" s="47"/>
    </row>
    <row r="757" spans="1:3" ht="15.75" customHeight="1">
      <c r="A757" s="60"/>
      <c r="C757" s="47"/>
    </row>
    <row r="758" spans="1:3" ht="15.75" customHeight="1">
      <c r="A758" s="60"/>
      <c r="C758" s="47"/>
    </row>
    <row r="759" spans="1:3" ht="15.75" customHeight="1">
      <c r="A759" s="60"/>
      <c r="C759" s="47"/>
    </row>
    <row r="760" spans="1:3" ht="15.75" customHeight="1">
      <c r="A760" s="60"/>
      <c r="C760" s="47"/>
    </row>
    <row r="761" spans="1:3" ht="15.75" customHeight="1">
      <c r="A761" s="60"/>
      <c r="C761" s="47"/>
    </row>
    <row r="762" spans="1:3" ht="15.75" customHeight="1">
      <c r="A762" s="60"/>
      <c r="C762" s="47"/>
    </row>
    <row r="763" spans="1:3" ht="15.75" customHeight="1">
      <c r="A763" s="60"/>
      <c r="C763" s="47"/>
    </row>
    <row r="764" spans="1:3" ht="15.75" customHeight="1">
      <c r="A764" s="60"/>
      <c r="C764" s="47"/>
    </row>
    <row r="765" spans="1:3" ht="15.75" customHeight="1">
      <c r="A765" s="60"/>
      <c r="C765" s="47"/>
    </row>
    <row r="766" spans="1:3" ht="15.75" customHeight="1">
      <c r="A766" s="60"/>
      <c r="C766" s="47"/>
    </row>
    <row r="767" spans="1:3" ht="15.75" customHeight="1">
      <c r="A767" s="60"/>
      <c r="C767" s="47"/>
    </row>
    <row r="768" spans="1:3" ht="15.75" customHeight="1">
      <c r="A768" s="60"/>
      <c r="C768" s="47"/>
    </row>
    <row r="769" spans="1:3" ht="15.75" customHeight="1">
      <c r="A769" s="60"/>
      <c r="C769" s="47"/>
    </row>
    <row r="770" spans="1:3" ht="15.75" customHeight="1">
      <c r="A770" s="60"/>
      <c r="C770" s="47"/>
    </row>
    <row r="771" spans="1:3" ht="15.75" customHeight="1">
      <c r="A771" s="60"/>
      <c r="C771" s="47"/>
    </row>
    <row r="772" spans="1:3" ht="15.75" customHeight="1">
      <c r="A772" s="60"/>
      <c r="C772" s="47"/>
    </row>
    <row r="773" spans="1:3" ht="15.75" customHeight="1">
      <c r="A773" s="60"/>
      <c r="C773" s="47"/>
    </row>
    <row r="774" spans="1:3" ht="15.75" customHeight="1">
      <c r="A774" s="60"/>
      <c r="C774" s="47"/>
    </row>
    <row r="775" spans="1:3" ht="15.75" customHeight="1">
      <c r="A775" s="60"/>
      <c r="C775" s="47"/>
    </row>
    <row r="776" spans="1:3" ht="15.75" customHeight="1">
      <c r="A776" s="60"/>
      <c r="C776" s="47"/>
    </row>
    <row r="777" spans="1:3" ht="15.75" customHeight="1">
      <c r="A777" s="60"/>
      <c r="C777" s="47"/>
    </row>
    <row r="778" spans="1:3" ht="15.75" customHeight="1">
      <c r="A778" s="60"/>
      <c r="C778" s="47"/>
    </row>
    <row r="779" spans="1:3" ht="15.75" customHeight="1">
      <c r="A779" s="60"/>
      <c r="C779" s="47"/>
    </row>
    <row r="780" spans="1:3" ht="15.75" customHeight="1">
      <c r="A780" s="60"/>
      <c r="C780" s="47"/>
    </row>
    <row r="781" spans="1:3" ht="15.75" customHeight="1">
      <c r="A781" s="60"/>
      <c r="C781" s="47"/>
    </row>
    <row r="782" spans="1:3" ht="15.75" customHeight="1">
      <c r="A782" s="60"/>
      <c r="C782" s="47"/>
    </row>
    <row r="783" spans="1:3" ht="15.75" customHeight="1">
      <c r="A783" s="60"/>
      <c r="C783" s="47"/>
    </row>
    <row r="784" spans="1:3" ht="15.75" customHeight="1">
      <c r="A784" s="60"/>
      <c r="C784" s="47"/>
    </row>
    <row r="785" spans="1:3" ht="15.75" customHeight="1">
      <c r="A785" s="60"/>
      <c r="C785" s="47"/>
    </row>
    <row r="786" spans="1:3" ht="15.75" customHeight="1">
      <c r="A786" s="60"/>
      <c r="C786" s="47"/>
    </row>
    <row r="787" spans="1:3" ht="15.75" customHeight="1">
      <c r="A787" s="60"/>
      <c r="C787" s="47"/>
    </row>
    <row r="788" spans="1:3" ht="15.75" customHeight="1">
      <c r="A788" s="60"/>
      <c r="C788" s="47"/>
    </row>
    <row r="789" spans="1:3" ht="15.75" customHeight="1">
      <c r="A789" s="60"/>
      <c r="C789" s="47"/>
    </row>
    <row r="790" spans="1:3" ht="15.75" customHeight="1">
      <c r="A790" s="60"/>
      <c r="C790" s="47"/>
    </row>
    <row r="791" spans="1:3" ht="15.75" customHeight="1">
      <c r="A791" s="60"/>
      <c r="C791" s="47"/>
    </row>
    <row r="792" spans="1:3" ht="15.75" customHeight="1">
      <c r="A792" s="60"/>
      <c r="C792" s="47"/>
    </row>
    <row r="793" spans="1:3" ht="15.75" customHeight="1">
      <c r="A793" s="60"/>
      <c r="C793" s="47"/>
    </row>
    <row r="794" spans="1:3" ht="15.75" customHeight="1">
      <c r="A794" s="60"/>
      <c r="C794" s="47"/>
    </row>
    <row r="795" spans="1:3" ht="15.75" customHeight="1">
      <c r="A795" s="60"/>
      <c r="C795" s="47"/>
    </row>
    <row r="796" spans="1:3" ht="15.75" customHeight="1">
      <c r="A796" s="60"/>
      <c r="C796" s="47"/>
    </row>
    <row r="797" spans="1:3" ht="15.75" customHeight="1">
      <c r="A797" s="60"/>
      <c r="C797" s="47"/>
    </row>
    <row r="798" spans="1:3" ht="15.75" customHeight="1">
      <c r="A798" s="60"/>
      <c r="C798" s="47"/>
    </row>
    <row r="799" spans="1:3" ht="15.75" customHeight="1">
      <c r="A799" s="60"/>
      <c r="C799" s="47"/>
    </row>
    <row r="800" spans="1:3" ht="15.75" customHeight="1">
      <c r="A800" s="60"/>
      <c r="C800" s="47"/>
    </row>
    <row r="801" spans="1:3" ht="15.75" customHeight="1">
      <c r="A801" s="60"/>
      <c r="C801" s="47"/>
    </row>
    <row r="802" spans="1:3" ht="15.75" customHeight="1">
      <c r="A802" s="60"/>
      <c r="C802" s="47"/>
    </row>
    <row r="803" spans="1:3" ht="15.75" customHeight="1">
      <c r="A803" s="60"/>
      <c r="C803" s="47"/>
    </row>
    <row r="804" spans="1:3" ht="15.75" customHeight="1">
      <c r="A804" s="60"/>
      <c r="C804" s="47"/>
    </row>
    <row r="805" spans="1:3" ht="15.75" customHeight="1">
      <c r="A805" s="60"/>
      <c r="C805" s="47"/>
    </row>
    <row r="806" spans="1:3" ht="15.75" customHeight="1">
      <c r="A806" s="60"/>
      <c r="C806" s="47"/>
    </row>
    <row r="807" spans="1:3" ht="15.75" customHeight="1">
      <c r="A807" s="60"/>
      <c r="C807" s="47"/>
    </row>
    <row r="808" spans="1:3" ht="15.75" customHeight="1">
      <c r="A808" s="60"/>
      <c r="C808" s="47"/>
    </row>
    <row r="809" spans="1:3" ht="15.75" customHeight="1">
      <c r="A809" s="60"/>
      <c r="C809" s="47"/>
    </row>
    <row r="810" spans="1:3" ht="15.75" customHeight="1">
      <c r="A810" s="60"/>
      <c r="C810" s="47"/>
    </row>
    <row r="811" spans="1:3" ht="15.75" customHeight="1">
      <c r="A811" s="60"/>
      <c r="C811" s="47"/>
    </row>
    <row r="812" spans="1:3" ht="15.75" customHeight="1">
      <c r="A812" s="60"/>
      <c r="C812" s="47"/>
    </row>
    <row r="813" spans="1:3" ht="15.75" customHeight="1">
      <c r="A813" s="60"/>
      <c r="C813" s="47"/>
    </row>
    <row r="814" spans="1:3" ht="15.75" customHeight="1">
      <c r="A814" s="60"/>
      <c r="C814" s="47"/>
    </row>
    <row r="815" spans="1:3" ht="15.75" customHeight="1">
      <c r="A815" s="60"/>
      <c r="C815" s="47"/>
    </row>
    <row r="816" spans="1:3" ht="15.75" customHeight="1">
      <c r="A816" s="60"/>
      <c r="C816" s="47"/>
    </row>
    <row r="817" spans="1:3" ht="15.75" customHeight="1">
      <c r="A817" s="60"/>
      <c r="C817" s="47"/>
    </row>
    <row r="818" spans="1:3" ht="15.75" customHeight="1">
      <c r="A818" s="60"/>
      <c r="C818" s="47"/>
    </row>
    <row r="819" spans="1:3" ht="15.75" customHeight="1">
      <c r="A819" s="60"/>
      <c r="C819" s="47"/>
    </row>
    <row r="820" spans="1:3" ht="15.75" customHeight="1">
      <c r="A820" s="60"/>
      <c r="C820" s="47"/>
    </row>
    <row r="821" spans="1:3" ht="15.75" customHeight="1">
      <c r="A821" s="60"/>
      <c r="C821" s="47"/>
    </row>
    <row r="822" spans="1:3" ht="15.75" customHeight="1">
      <c r="A822" s="60"/>
      <c r="C822" s="47"/>
    </row>
    <row r="823" spans="1:3" ht="15.75" customHeight="1">
      <c r="A823" s="60"/>
      <c r="C823" s="47"/>
    </row>
    <row r="824" spans="1:3" ht="15.75" customHeight="1">
      <c r="A824" s="60"/>
      <c r="C824" s="47"/>
    </row>
    <row r="825" spans="1:3" ht="15.75" customHeight="1">
      <c r="A825" s="60"/>
      <c r="C825" s="47"/>
    </row>
    <row r="826" spans="1:3" ht="15.75" customHeight="1">
      <c r="A826" s="60"/>
      <c r="C826" s="47"/>
    </row>
    <row r="827" spans="1:3" ht="15.75" customHeight="1">
      <c r="A827" s="60"/>
      <c r="C827" s="47"/>
    </row>
    <row r="828" spans="1:3" ht="15.75" customHeight="1">
      <c r="A828" s="60"/>
      <c r="C828" s="47"/>
    </row>
    <row r="829" spans="1:3" ht="15.75" customHeight="1">
      <c r="A829" s="60"/>
      <c r="C829" s="47"/>
    </row>
    <row r="830" spans="1:3" ht="15.75" customHeight="1">
      <c r="A830" s="60"/>
      <c r="C830" s="47"/>
    </row>
    <row r="831" spans="1:3" ht="15.75" customHeight="1">
      <c r="A831" s="60"/>
      <c r="C831" s="47"/>
    </row>
    <row r="832" spans="1:3" ht="15.75" customHeight="1">
      <c r="A832" s="60"/>
      <c r="C832" s="47"/>
    </row>
    <row r="833" spans="1:3" ht="15.75" customHeight="1">
      <c r="A833" s="60"/>
      <c r="C833" s="47"/>
    </row>
    <row r="834" spans="1:3" ht="15.75" customHeight="1">
      <c r="A834" s="60"/>
      <c r="C834" s="47"/>
    </row>
    <row r="835" spans="1:3" ht="15.75" customHeight="1">
      <c r="A835" s="60"/>
      <c r="C835" s="47"/>
    </row>
    <row r="836" spans="1:3" ht="15.75" customHeight="1">
      <c r="A836" s="60"/>
      <c r="C836" s="47"/>
    </row>
    <row r="837" spans="1:3" ht="15.75" customHeight="1">
      <c r="A837" s="60"/>
      <c r="C837" s="47"/>
    </row>
    <row r="838" spans="1:3" ht="15.75" customHeight="1">
      <c r="A838" s="60"/>
      <c r="C838" s="47"/>
    </row>
    <row r="839" spans="1:3" ht="15.75" customHeight="1">
      <c r="A839" s="60"/>
      <c r="C839" s="47"/>
    </row>
    <row r="840" spans="1:3" ht="15.75" customHeight="1">
      <c r="A840" s="60"/>
      <c r="C840" s="47"/>
    </row>
    <row r="841" spans="1:3" ht="15.75" customHeight="1">
      <c r="A841" s="60"/>
      <c r="C841" s="47"/>
    </row>
    <row r="842" spans="1:3" ht="15.75" customHeight="1">
      <c r="A842" s="60"/>
      <c r="C842" s="47"/>
    </row>
    <row r="843" spans="1:3" ht="15.75" customHeight="1">
      <c r="A843" s="60"/>
      <c r="C843" s="47"/>
    </row>
    <row r="844" spans="1:3" ht="15.75" customHeight="1">
      <c r="A844" s="60"/>
      <c r="C844" s="47"/>
    </row>
    <row r="845" spans="1:3" ht="15.75" customHeight="1">
      <c r="A845" s="60"/>
      <c r="C845" s="47"/>
    </row>
    <row r="846" spans="1:3" ht="15.75" customHeight="1">
      <c r="A846" s="60"/>
      <c r="C846" s="47"/>
    </row>
    <row r="847" spans="1:3" ht="15.75" customHeight="1">
      <c r="A847" s="60"/>
      <c r="C847" s="47"/>
    </row>
    <row r="848" spans="1:3" ht="15.75" customHeight="1">
      <c r="A848" s="60"/>
      <c r="C848" s="47"/>
    </row>
    <row r="849" spans="1:3" ht="15.75" customHeight="1">
      <c r="A849" s="60"/>
      <c r="C849" s="47"/>
    </row>
    <row r="850" spans="1:3" ht="15.75" customHeight="1">
      <c r="A850" s="60"/>
      <c r="C850" s="47"/>
    </row>
    <row r="851" spans="1:3" ht="15.75" customHeight="1">
      <c r="A851" s="60"/>
      <c r="C851" s="47"/>
    </row>
    <row r="852" spans="1:3" ht="15.75" customHeight="1">
      <c r="A852" s="60"/>
      <c r="C852" s="47"/>
    </row>
    <row r="853" spans="1:3" ht="15.75" customHeight="1">
      <c r="A853" s="60"/>
      <c r="C853" s="47"/>
    </row>
    <row r="854" spans="1:3" ht="15.75" customHeight="1">
      <c r="A854" s="60"/>
      <c r="C854" s="47"/>
    </row>
    <row r="855" spans="1:3" ht="15.75" customHeight="1">
      <c r="A855" s="60"/>
      <c r="C855" s="47"/>
    </row>
    <row r="856" spans="1:3" ht="15.75" customHeight="1">
      <c r="A856" s="60"/>
      <c r="C856" s="47"/>
    </row>
    <row r="857" spans="1:3" ht="15.75" customHeight="1">
      <c r="A857" s="60"/>
      <c r="C857" s="47"/>
    </row>
    <row r="858" spans="1:3" ht="15.75" customHeight="1">
      <c r="A858" s="60"/>
      <c r="C858" s="47"/>
    </row>
    <row r="859" spans="1:3" ht="15.75" customHeight="1">
      <c r="A859" s="60"/>
      <c r="C859" s="47"/>
    </row>
    <row r="860" spans="1:3" ht="15.75" customHeight="1">
      <c r="A860" s="60"/>
      <c r="C860" s="47"/>
    </row>
    <row r="861" spans="1:3" ht="15.75" customHeight="1">
      <c r="A861" s="60"/>
      <c r="C861" s="47"/>
    </row>
    <row r="862" spans="1:3" ht="15.75" customHeight="1">
      <c r="A862" s="60"/>
      <c r="C862" s="47"/>
    </row>
    <row r="863" spans="1:3" ht="15.75" customHeight="1">
      <c r="A863" s="60"/>
      <c r="C863" s="47"/>
    </row>
    <row r="864" spans="1:3" ht="15.75" customHeight="1">
      <c r="A864" s="60"/>
      <c r="C864" s="47"/>
    </row>
    <row r="865" spans="1:3" ht="15.75" customHeight="1">
      <c r="A865" s="60"/>
      <c r="C865" s="47"/>
    </row>
    <row r="866" spans="1:3" ht="15.75" customHeight="1">
      <c r="A866" s="60"/>
      <c r="C866" s="47"/>
    </row>
    <row r="867" spans="1:3" ht="15.75" customHeight="1">
      <c r="A867" s="60"/>
      <c r="C867" s="47"/>
    </row>
    <row r="868" spans="1:3" ht="15.75" customHeight="1">
      <c r="A868" s="60"/>
      <c r="C868" s="47"/>
    </row>
    <row r="869" spans="1:3" ht="15.75" customHeight="1">
      <c r="A869" s="60"/>
      <c r="C869" s="47"/>
    </row>
    <row r="870" spans="1:3" ht="15.75" customHeight="1">
      <c r="A870" s="60"/>
      <c r="C870" s="47"/>
    </row>
    <row r="871" spans="1:3" ht="15.75" customHeight="1">
      <c r="A871" s="60"/>
      <c r="C871" s="47"/>
    </row>
    <row r="872" spans="1:3" ht="15.75" customHeight="1">
      <c r="A872" s="60"/>
      <c r="C872" s="47"/>
    </row>
    <row r="873" spans="1:3" ht="15.75" customHeight="1">
      <c r="A873" s="60"/>
      <c r="C873" s="47"/>
    </row>
    <row r="874" spans="1:3" ht="15.75" customHeight="1">
      <c r="A874" s="60"/>
      <c r="C874" s="47"/>
    </row>
    <row r="875" spans="1:3" ht="15.75" customHeight="1">
      <c r="A875" s="60"/>
      <c r="C875" s="47"/>
    </row>
    <row r="876" spans="1:3" ht="15.75" customHeight="1">
      <c r="A876" s="60"/>
      <c r="C876" s="47"/>
    </row>
    <row r="877" spans="1:3" ht="15.75" customHeight="1">
      <c r="A877" s="60"/>
      <c r="C877" s="47"/>
    </row>
    <row r="878" spans="1:3" ht="15.75" customHeight="1">
      <c r="A878" s="60"/>
      <c r="C878" s="47"/>
    </row>
    <row r="879" spans="1:3" ht="15.75" customHeight="1">
      <c r="A879" s="60"/>
      <c r="C879" s="47"/>
    </row>
    <row r="880" spans="1:3" ht="15.75" customHeight="1">
      <c r="A880" s="60"/>
      <c r="C880" s="47"/>
    </row>
    <row r="881" spans="1:3" ht="15.75" customHeight="1">
      <c r="A881" s="60"/>
      <c r="C881" s="47"/>
    </row>
    <row r="882" spans="1:3" ht="15.75" customHeight="1">
      <c r="A882" s="60"/>
      <c r="C882" s="47"/>
    </row>
    <row r="883" spans="1:3" ht="15.75" customHeight="1">
      <c r="A883" s="60"/>
      <c r="C883" s="47"/>
    </row>
    <row r="884" spans="1:3" ht="15.75" customHeight="1">
      <c r="A884" s="60"/>
      <c r="C884" s="47"/>
    </row>
    <row r="885" spans="1:3" ht="15.75" customHeight="1">
      <c r="A885" s="60"/>
      <c r="C885" s="47"/>
    </row>
    <row r="886" spans="1:3" ht="15.75" customHeight="1">
      <c r="A886" s="60"/>
      <c r="C886" s="47"/>
    </row>
    <row r="887" spans="1:3" ht="15.75" customHeight="1">
      <c r="A887" s="60"/>
      <c r="C887" s="47"/>
    </row>
    <row r="888" spans="1:3" ht="15.75" customHeight="1">
      <c r="A888" s="60"/>
      <c r="C888" s="47"/>
    </row>
    <row r="889" spans="1:3" ht="15.75" customHeight="1">
      <c r="A889" s="60"/>
      <c r="C889" s="47"/>
    </row>
    <row r="890" spans="1:3" ht="15.75" customHeight="1">
      <c r="A890" s="60"/>
      <c r="C890" s="47"/>
    </row>
    <row r="891" spans="1:3" ht="15.75" customHeight="1">
      <c r="A891" s="60"/>
      <c r="C891" s="47"/>
    </row>
    <row r="892" spans="1:3" ht="15.75" customHeight="1">
      <c r="A892" s="60"/>
      <c r="C892" s="47"/>
    </row>
    <row r="893" spans="1:3" ht="15.75" customHeight="1">
      <c r="A893" s="60"/>
      <c r="C893" s="47"/>
    </row>
    <row r="894" spans="1:3" ht="15.75" customHeight="1">
      <c r="A894" s="60"/>
      <c r="C894" s="47"/>
    </row>
    <row r="895" spans="1:3" ht="15.75" customHeight="1">
      <c r="A895" s="60"/>
      <c r="C895" s="47"/>
    </row>
    <row r="896" spans="1:3" ht="15.75" customHeight="1">
      <c r="A896" s="60"/>
      <c r="C896" s="47"/>
    </row>
    <row r="897" spans="1:3" ht="15.75" customHeight="1">
      <c r="A897" s="60"/>
      <c r="C897" s="47"/>
    </row>
    <row r="898" spans="1:3" ht="15.75" customHeight="1">
      <c r="A898" s="60"/>
      <c r="C898" s="47"/>
    </row>
    <row r="899" spans="1:3" ht="15.75" customHeight="1">
      <c r="A899" s="60"/>
      <c r="C899" s="47"/>
    </row>
    <row r="900" spans="1:3" ht="15.75" customHeight="1">
      <c r="A900" s="60"/>
      <c r="C900" s="47"/>
    </row>
    <row r="901" spans="1:3" ht="15.75" customHeight="1">
      <c r="A901" s="60"/>
      <c r="C901" s="47"/>
    </row>
    <row r="902" spans="1:3" ht="15.75" customHeight="1">
      <c r="A902" s="60"/>
      <c r="C902" s="47"/>
    </row>
    <row r="903" spans="1:3" ht="15.75" customHeight="1">
      <c r="A903" s="60"/>
      <c r="C903" s="47"/>
    </row>
    <row r="904" spans="1:3" ht="15.75" customHeight="1">
      <c r="A904" s="60"/>
      <c r="C904" s="47"/>
    </row>
    <row r="905" spans="1:3" ht="15.75" customHeight="1">
      <c r="A905" s="60"/>
      <c r="C905" s="47"/>
    </row>
    <row r="906" spans="1:3" ht="15.75" customHeight="1">
      <c r="A906" s="60"/>
      <c r="C906" s="47"/>
    </row>
    <row r="907" spans="1:3" ht="15.75" customHeight="1">
      <c r="A907" s="60"/>
      <c r="C907" s="47"/>
    </row>
    <row r="908" spans="1:3" ht="15.75" customHeight="1">
      <c r="A908" s="60"/>
      <c r="C908" s="47"/>
    </row>
    <row r="909" spans="1:3" ht="15.75" customHeight="1">
      <c r="A909" s="60"/>
      <c r="C909" s="47"/>
    </row>
    <row r="910" spans="1:3" ht="15.75" customHeight="1">
      <c r="A910" s="60"/>
      <c r="C910" s="47"/>
    </row>
    <row r="911" spans="1:3" ht="15.75" customHeight="1">
      <c r="A911" s="60"/>
      <c r="C911" s="47"/>
    </row>
    <row r="912" spans="1:3" ht="15.75" customHeight="1">
      <c r="A912" s="60"/>
      <c r="C912" s="47"/>
    </row>
    <row r="913" spans="1:3" ht="15.75" customHeight="1">
      <c r="A913" s="60"/>
      <c r="C913" s="47"/>
    </row>
    <row r="914" spans="1:3" ht="15.75" customHeight="1">
      <c r="A914" s="60"/>
      <c r="C914" s="47"/>
    </row>
    <row r="915" spans="1:3" ht="15.75" customHeight="1">
      <c r="A915" s="60"/>
      <c r="C915" s="47"/>
    </row>
    <row r="916" spans="1:3" ht="15.75" customHeight="1">
      <c r="A916" s="60"/>
      <c r="C916" s="47"/>
    </row>
    <row r="917" spans="1:3" ht="15.75" customHeight="1">
      <c r="A917" s="60"/>
      <c r="C917" s="47"/>
    </row>
    <row r="918" spans="1:3" ht="15.75" customHeight="1">
      <c r="A918" s="60"/>
      <c r="C918" s="47"/>
    </row>
    <row r="919" spans="1:3" ht="15.75" customHeight="1">
      <c r="A919" s="60"/>
      <c r="C919" s="47"/>
    </row>
    <row r="920" spans="1:3" ht="15.75" customHeight="1">
      <c r="A920" s="60"/>
      <c r="C920" s="47"/>
    </row>
    <row r="921" spans="1:3" ht="15.75" customHeight="1">
      <c r="A921" s="60"/>
      <c r="C921" s="47"/>
    </row>
    <row r="922" spans="1:3" ht="15.75" customHeight="1">
      <c r="A922" s="60"/>
      <c r="C922" s="47"/>
    </row>
    <row r="923" spans="1:3" ht="15.75" customHeight="1">
      <c r="A923" s="60"/>
      <c r="C923" s="47"/>
    </row>
    <row r="924" spans="1:3" ht="15.75" customHeight="1">
      <c r="A924" s="60"/>
      <c r="C924" s="47"/>
    </row>
    <row r="925" spans="1:3" ht="15.75" customHeight="1">
      <c r="A925" s="60"/>
      <c r="C925" s="47"/>
    </row>
    <row r="926" spans="1:3" ht="15.75" customHeight="1">
      <c r="A926" s="60"/>
      <c r="C926" s="47"/>
    </row>
    <row r="927" spans="1:3" ht="15.75" customHeight="1">
      <c r="A927" s="60"/>
      <c r="C927" s="47"/>
    </row>
    <row r="928" spans="1:3" ht="15.75" customHeight="1">
      <c r="A928" s="60"/>
      <c r="C928" s="47"/>
    </row>
    <row r="929" spans="1:3" ht="15.75" customHeight="1">
      <c r="A929" s="60"/>
      <c r="C929" s="47"/>
    </row>
    <row r="930" spans="1:3" ht="15.75" customHeight="1">
      <c r="A930" s="60"/>
      <c r="C930" s="47"/>
    </row>
    <row r="931" spans="1:3" ht="15.75" customHeight="1">
      <c r="A931" s="60"/>
      <c r="C931" s="47"/>
    </row>
    <row r="932" spans="1:3" ht="15.75" customHeight="1">
      <c r="A932" s="60"/>
      <c r="C932" s="47"/>
    </row>
    <row r="933" spans="1:3" ht="15.75" customHeight="1">
      <c r="A933" s="60"/>
      <c r="C933" s="47"/>
    </row>
    <row r="934" spans="1:3" ht="15.75" customHeight="1">
      <c r="A934" s="60"/>
      <c r="C934" s="47"/>
    </row>
    <row r="935" spans="1:3" ht="15.75" customHeight="1">
      <c r="A935" s="60"/>
      <c r="C935" s="47"/>
    </row>
    <row r="936" spans="1:3" ht="15.75" customHeight="1">
      <c r="A936" s="60"/>
      <c r="C936" s="47"/>
    </row>
    <row r="937" spans="1:3" ht="15.75" customHeight="1">
      <c r="A937" s="60"/>
      <c r="C937" s="47"/>
    </row>
    <row r="938" spans="1:3" ht="15.75" customHeight="1">
      <c r="A938" s="60"/>
      <c r="C938" s="47"/>
    </row>
    <row r="939" spans="1:3" ht="15.75" customHeight="1">
      <c r="A939" s="60"/>
      <c r="C939" s="47"/>
    </row>
    <row r="940" spans="1:3" ht="15.75" customHeight="1">
      <c r="A940" s="60"/>
      <c r="C940" s="47"/>
    </row>
    <row r="941" spans="1:3" ht="15.75" customHeight="1">
      <c r="A941" s="60"/>
      <c r="C941" s="47"/>
    </row>
    <row r="942" spans="1:3" ht="15.75" customHeight="1">
      <c r="A942" s="60"/>
      <c r="C942" s="47"/>
    </row>
    <row r="943" spans="1:3" ht="15.75" customHeight="1">
      <c r="A943" s="60"/>
      <c r="C943" s="47"/>
    </row>
    <row r="944" spans="1:3" ht="15.75" customHeight="1">
      <c r="A944" s="60"/>
      <c r="C944" s="47"/>
    </row>
    <row r="945" spans="1:3" ht="15.75" customHeight="1">
      <c r="A945" s="60"/>
      <c r="C945" s="47"/>
    </row>
    <row r="946" spans="1:3" ht="15.75" customHeight="1">
      <c r="A946" s="60"/>
      <c r="C946" s="47"/>
    </row>
    <row r="947" spans="1:3" ht="15.75" customHeight="1">
      <c r="A947" s="60"/>
      <c r="C947" s="47"/>
    </row>
    <row r="948" spans="1:3" ht="15.75" customHeight="1">
      <c r="A948" s="60"/>
      <c r="C948" s="47"/>
    </row>
    <row r="949" spans="1:3" ht="15.75" customHeight="1">
      <c r="A949" s="60"/>
      <c r="C949" s="47"/>
    </row>
    <row r="950" spans="1:3" ht="15.75" customHeight="1">
      <c r="A950" s="60"/>
      <c r="C950" s="47"/>
    </row>
    <row r="951" spans="1:3" ht="15.75" customHeight="1">
      <c r="A951" s="60"/>
      <c r="C951" s="47"/>
    </row>
    <row r="952" spans="1:3" ht="15.75" customHeight="1">
      <c r="A952" s="60"/>
      <c r="C952" s="47"/>
    </row>
    <row r="953" spans="1:3" ht="15.75" customHeight="1">
      <c r="A953" s="60"/>
      <c r="C953" s="47"/>
    </row>
    <row r="954" spans="1:3" ht="15.75" customHeight="1">
      <c r="A954" s="60"/>
      <c r="C954" s="47"/>
    </row>
    <row r="955" spans="1:3" ht="15.75" customHeight="1">
      <c r="A955" s="60"/>
      <c r="C955" s="47"/>
    </row>
    <row r="956" spans="1:3" ht="15.75" customHeight="1">
      <c r="A956" s="60"/>
      <c r="C956" s="47"/>
    </row>
    <row r="957" spans="1:3" ht="15.75" customHeight="1">
      <c r="A957" s="60"/>
      <c r="C957" s="47"/>
    </row>
    <row r="958" spans="1:3" ht="15.75" customHeight="1">
      <c r="A958" s="60"/>
      <c r="C958" s="47"/>
    </row>
    <row r="959" spans="1:3" ht="15.75" customHeight="1">
      <c r="A959" s="60"/>
      <c r="C959" s="47"/>
    </row>
    <row r="960" spans="1:3" ht="15.75" customHeight="1">
      <c r="A960" s="60"/>
      <c r="C960" s="47"/>
    </row>
    <row r="961" spans="1:3" ht="15.75" customHeight="1">
      <c r="A961" s="60"/>
      <c r="C961" s="47"/>
    </row>
    <row r="962" spans="1:3" ht="15.75" customHeight="1">
      <c r="A962" s="60"/>
      <c r="C962" s="47"/>
    </row>
    <row r="963" spans="1:3" ht="15.75" customHeight="1">
      <c r="A963" s="60"/>
      <c r="C963" s="47"/>
    </row>
    <row r="964" spans="1:3" ht="15.75" customHeight="1">
      <c r="A964" s="60"/>
      <c r="C964" s="47"/>
    </row>
    <row r="965" spans="1:3" ht="15.75" customHeight="1">
      <c r="A965" s="60"/>
      <c r="C965" s="47"/>
    </row>
    <row r="966" spans="1:3" ht="15.75" customHeight="1">
      <c r="A966" s="60"/>
      <c r="C966" s="47"/>
    </row>
    <row r="967" spans="1:3" ht="15.75" customHeight="1">
      <c r="A967" s="60"/>
      <c r="C967" s="47"/>
    </row>
    <row r="968" spans="1:3" ht="15.75" customHeight="1">
      <c r="A968" s="60"/>
      <c r="C968" s="47"/>
    </row>
    <row r="969" spans="1:3" ht="15.75" customHeight="1">
      <c r="A969" s="60"/>
      <c r="C969" s="47"/>
    </row>
    <row r="970" spans="1:3" ht="15.75" customHeight="1">
      <c r="A970" s="60"/>
      <c r="C970" s="47"/>
    </row>
    <row r="971" spans="1:3" ht="15.75" customHeight="1">
      <c r="A971" s="60"/>
      <c r="C971" s="47"/>
    </row>
    <row r="972" spans="1:3" ht="15.75" customHeight="1">
      <c r="A972" s="60"/>
      <c r="C972" s="47"/>
    </row>
    <row r="973" spans="1:3" ht="15.75" customHeight="1">
      <c r="A973" s="60"/>
      <c r="C973" s="47"/>
    </row>
    <row r="974" spans="1:3" ht="15.75" customHeight="1">
      <c r="A974" s="60"/>
      <c r="C974" s="47"/>
    </row>
    <row r="975" spans="1:3" ht="15.75" customHeight="1">
      <c r="A975" s="60"/>
      <c r="C975" s="47"/>
    </row>
    <row r="976" spans="1:3" ht="15.75" customHeight="1">
      <c r="A976" s="60"/>
      <c r="C976" s="47"/>
    </row>
    <row r="977" spans="1:3" ht="15.75" customHeight="1">
      <c r="A977" s="60"/>
      <c r="C977" s="47"/>
    </row>
    <row r="978" spans="1:3" ht="15.75" customHeight="1">
      <c r="A978" s="60"/>
      <c r="C978" s="47"/>
    </row>
    <row r="979" spans="1:3" ht="15.75" customHeight="1">
      <c r="A979" s="60"/>
      <c r="C979" s="47"/>
    </row>
    <row r="980" spans="1:3" ht="15.75" customHeight="1">
      <c r="A980" s="60"/>
      <c r="C980" s="47"/>
    </row>
    <row r="981" spans="1:3" ht="15.75" customHeight="1">
      <c r="A981" s="60"/>
      <c r="C981" s="47"/>
    </row>
    <row r="982" spans="1:3" ht="15.75" customHeight="1">
      <c r="A982" s="60"/>
      <c r="C982" s="47"/>
    </row>
    <row r="983" spans="1:3" ht="15.75" customHeight="1">
      <c r="A983" s="60"/>
      <c r="C983" s="47"/>
    </row>
    <row r="984" spans="1:3" ht="15.75" customHeight="1">
      <c r="A984" s="60"/>
      <c r="C984" s="47"/>
    </row>
    <row r="985" spans="1:3" ht="15.75" customHeight="1">
      <c r="A985" s="60"/>
      <c r="C985" s="47"/>
    </row>
    <row r="986" spans="1:3" ht="15.75" customHeight="1">
      <c r="A986" s="60"/>
      <c r="C986" s="47"/>
    </row>
    <row r="987" spans="1:3" ht="15.75" customHeight="1">
      <c r="A987" s="60"/>
      <c r="C987" s="47"/>
    </row>
    <row r="988" spans="1:3" ht="15.75" customHeight="1">
      <c r="A988" s="60"/>
      <c r="C988" s="47"/>
    </row>
    <row r="989" spans="1:3" ht="15.75" customHeight="1">
      <c r="A989" s="60"/>
      <c r="C989" s="47"/>
    </row>
    <row r="990" spans="1:3" ht="15.75" customHeight="1">
      <c r="A990" s="60"/>
      <c r="C990" s="47"/>
    </row>
    <row r="991" spans="1:3" ht="15.75" customHeight="1">
      <c r="A991" s="60"/>
      <c r="C991" s="47"/>
    </row>
    <row r="992" spans="1:3" ht="15.75" customHeight="1">
      <c r="A992" s="60"/>
      <c r="C992" s="47"/>
    </row>
    <row r="993" spans="1:3" ht="15.75" customHeight="1">
      <c r="A993" s="60"/>
      <c r="C993" s="47"/>
    </row>
    <row r="994" spans="1:3" ht="15.75" customHeight="1">
      <c r="A994" s="60"/>
      <c r="C994" s="47"/>
    </row>
    <row r="995" spans="1:3" ht="15.75" customHeight="1">
      <c r="A995" s="60"/>
      <c r="C995" s="47"/>
    </row>
    <row r="996" spans="1:3" ht="15.75" customHeight="1">
      <c r="A996" s="60"/>
      <c r="C996" s="47"/>
    </row>
    <row r="997" spans="1:3" ht="15.75" customHeight="1">
      <c r="A997" s="60"/>
      <c r="C997" s="47"/>
    </row>
    <row r="998" spans="1:3" ht="15.75" customHeight="1">
      <c r="A998" s="60"/>
      <c r="C998" s="47"/>
    </row>
    <row r="999" spans="1:3" ht="15.75" customHeight="1">
      <c r="A999" s="60"/>
      <c r="C999" s="47"/>
    </row>
    <row r="1000" spans="1:3" ht="15.75" customHeight="1">
      <c r="A1000" s="60"/>
      <c r="C1000" s="47"/>
    </row>
  </sheetData>
  <mergeCells count="13">
    <mergeCell ref="A5:B5"/>
    <mergeCell ref="C5:E5"/>
    <mergeCell ref="A1:J2"/>
    <mergeCell ref="A3:B3"/>
    <mergeCell ref="C3:E3"/>
    <mergeCell ref="A4:B4"/>
    <mergeCell ref="C4:E4"/>
    <mergeCell ref="A6:B6"/>
    <mergeCell ref="C6:E6"/>
    <mergeCell ref="A7:B7"/>
    <mergeCell ref="C7:E7"/>
    <mergeCell ref="A8:B8"/>
    <mergeCell ref="C8:G8"/>
  </mergeCells>
  <conditionalFormatting sqref="B48:B1000">
    <cfRule type="expression" dxfId="13" priority="1">
      <formula>OR($P48=#REF!,#REF!=#REF!,#REF!=#REF!)</formula>
    </cfRule>
  </conditionalFormatting>
  <conditionalFormatting sqref="B48:B1000">
    <cfRule type="expression" dxfId="12" priority="2">
      <formula>OR(#REF!=#REF!,#REF!=#REF!,#REF!=#REF!)</formula>
    </cfRule>
  </conditionalFormatting>
  <conditionalFormatting sqref="B48:B1000">
    <cfRule type="expression" dxfId="11" priority="3">
      <formula>OR(#REF!=#REF!,#REF!=#REF!,#REF!=#REF!)</formula>
    </cfRule>
  </conditionalFormatting>
  <conditionalFormatting sqref="B48:B1000">
    <cfRule type="expression" dxfId="10" priority="4">
      <formula>OR(#REF!=#REF!,#REF!=#REF!,#REF!=#REF!)</formula>
    </cfRule>
  </conditionalFormatting>
  <conditionalFormatting sqref="B48:B1000">
    <cfRule type="expression" dxfId="9" priority="5">
      <formula>OR(#REF!=#REF!,#REF!=#REF!,#REF!=#REF!)</formula>
    </cfRule>
  </conditionalFormatting>
  <conditionalFormatting sqref="B48:B1000">
    <cfRule type="expression" dxfId="8" priority="6">
      <formula>OR($R48=#REF!,#REF!=#REF!,#REF!=#REF!)</formula>
    </cfRule>
  </conditionalFormatting>
  <conditionalFormatting sqref="B48:B1000">
    <cfRule type="expression" dxfId="7" priority="7">
      <formula>OR(#REF!=#REF!,#REF!=#REF!,#REF!=#REF!)</formula>
    </cfRule>
  </conditionalFormatting>
  <conditionalFormatting sqref="B48:B1000">
    <cfRule type="expression" dxfId="6" priority="8">
      <formula>OR($P48=#REF!,#REF!=#REF!,#REF!=#REF!)</formula>
    </cfRule>
  </conditionalFormatting>
  <conditionalFormatting sqref="B48:B1000">
    <cfRule type="expression" dxfId="5" priority="9">
      <formula>OR(#REF!=#REF!,#REF!=#REF!,#REF!=#REF!)</formula>
    </cfRule>
  </conditionalFormatting>
  <conditionalFormatting sqref="B48:B1000">
    <cfRule type="expression" dxfId="4" priority="10">
      <formula>OR(#REF!=#REF!,#REF!=#REF!,#REF!=#REF!)</formula>
    </cfRule>
  </conditionalFormatting>
  <conditionalFormatting sqref="B48:B1000">
    <cfRule type="expression" dxfId="3" priority="11">
      <formula>OR(#REF!=#REF!,#REF!=#REF!,#REF!=#REF!)</formula>
    </cfRule>
  </conditionalFormatting>
  <conditionalFormatting sqref="B48:B1000">
    <cfRule type="expression" dxfId="2" priority="12">
      <formula>OR(#REF!=#REF!,#REF!=#REF!,#REF!=#REF!)</formula>
    </cfRule>
  </conditionalFormatting>
  <conditionalFormatting sqref="B48:B1000">
    <cfRule type="expression" dxfId="1" priority="13">
      <formula>OR($P48=#REF!,#REF!=#REF!,#REF!=#REF!)</formula>
    </cfRule>
  </conditionalFormatting>
  <conditionalFormatting sqref="B48:B1000">
    <cfRule type="expression" dxfId="0" priority="14">
      <formula>OR(#REF!=#REF!,#REF!=#REF!,#REF!=#REF!)</formula>
    </cfRule>
  </conditionalFormatting>
  <hyperlinks>
    <hyperlink ref="C6" r:id="rId1" display="mailto:ioviedoc@sena.edu.co" xr:uid="{E55F6430-B8C7-4D9B-BC86-71A7C6503A66}"/>
    <hyperlink ref="C8" r:id="rId2" display="https://sena4-my.sharepoint.com/shared?id=%2Fpersonal%2Fapuentes%5Fsena%5Fedu%5Fco%2FDocuments%2FA%C3%91O%202026%2FSUPERVISION%20CUENTAS%20DE%20COBRO%20ARTICULACION%202026%2FCARLOS%20ALBERTO%20SALCEDO%20DURAN%2FPORTAFOLIO%5FDE%5FEVIDENCIAS%5FCARLOS%5FALBERTO%5FSALCEDO%5FDURAN%2FGRUPO%20%2D%203453742%20%2D%20COLEGIO%20TOMAS%20CIPRIANO&amp;viewid=f99452b8%2D8171%2D424a%2D90f1%2D23fef74632a4" xr:uid="{DD978462-1296-4C57-ABF4-BAF65A8BB758}"/>
  </hyperlinks>
  <pageMargins left="0.7" right="0.7" top="0.75" bottom="0.75" header="0" footer="0"/>
  <pageSetup orientation="landscape"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'ASISTENCIA '!$DY$9:$DY$19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outlinePr summaryBelow="0" summaryRight="0"/>
  </sheetPr>
  <dimension ref="A1:F42"/>
  <sheetViews>
    <sheetView topLeftCell="A25" workbookViewId="0">
      <selection activeCell="B38" sqref="B38:D42"/>
    </sheetView>
  </sheetViews>
  <sheetFormatPr baseColWidth="10" defaultColWidth="11.25" defaultRowHeight="15" customHeight="1"/>
  <cols>
    <col min="2" max="2" width="27.125" customWidth="1"/>
    <col min="3" max="3" width="24.375" customWidth="1"/>
    <col min="4" max="4" width="34" customWidth="1"/>
  </cols>
  <sheetData>
    <row r="1" spans="1:6" ht="15" customHeight="1">
      <c r="A1" s="190" t="s">
        <v>81</v>
      </c>
      <c r="B1" s="101"/>
      <c r="C1" s="101"/>
      <c r="D1" s="101"/>
      <c r="E1" s="62"/>
      <c r="F1" s="62"/>
    </row>
    <row r="2" spans="1:6" ht="15.75">
      <c r="A2" s="63" t="s">
        <v>82</v>
      </c>
      <c r="B2" s="64" t="s">
        <v>83</v>
      </c>
      <c r="C2" s="64" t="s">
        <v>84</v>
      </c>
      <c r="D2" s="65" t="s">
        <v>85</v>
      </c>
    </row>
    <row r="3" spans="1:6" ht="15.75">
      <c r="A3" s="187" t="s">
        <v>86</v>
      </c>
      <c r="B3" s="66"/>
      <c r="C3" s="66"/>
      <c r="D3" s="67"/>
    </row>
    <row r="4" spans="1:6" ht="15.75">
      <c r="A4" s="188"/>
      <c r="B4" s="66"/>
      <c r="C4" s="66"/>
      <c r="D4" s="67"/>
    </row>
    <row r="5" spans="1:6" ht="15.75">
      <c r="A5" s="188"/>
      <c r="B5" s="66"/>
      <c r="C5" s="66"/>
      <c r="D5" s="67"/>
    </row>
    <row r="6" spans="1:6" ht="15.75">
      <c r="A6" s="188"/>
      <c r="B6" s="66"/>
      <c r="C6" s="66"/>
      <c r="D6" s="67"/>
    </row>
    <row r="7" spans="1:6" ht="15.75">
      <c r="A7" s="189"/>
      <c r="B7" s="68"/>
      <c r="C7" s="68"/>
      <c r="D7" s="69"/>
    </row>
    <row r="8" spans="1:6" ht="15.75">
      <c r="B8" s="70"/>
    </row>
    <row r="9" spans="1:6" ht="15.75">
      <c r="A9" s="63" t="s">
        <v>87</v>
      </c>
      <c r="B9" s="64" t="s">
        <v>83</v>
      </c>
      <c r="C9" s="64" t="s">
        <v>84</v>
      </c>
      <c r="D9" s="65" t="s">
        <v>85</v>
      </c>
    </row>
    <row r="10" spans="1:6" ht="15.75">
      <c r="A10" s="187" t="s">
        <v>86</v>
      </c>
      <c r="B10" s="66"/>
      <c r="C10" s="66"/>
      <c r="D10" s="67"/>
    </row>
    <row r="11" spans="1:6" ht="15.75">
      <c r="A11" s="188"/>
      <c r="B11" s="66"/>
      <c r="C11" s="66"/>
      <c r="D11" s="67"/>
    </row>
    <row r="12" spans="1:6" ht="15.75">
      <c r="A12" s="188"/>
      <c r="B12" s="66"/>
      <c r="C12" s="66"/>
      <c r="D12" s="67"/>
    </row>
    <row r="13" spans="1:6" ht="15.75">
      <c r="A13" s="188"/>
      <c r="B13" s="66"/>
      <c r="C13" s="66"/>
      <c r="D13" s="67"/>
    </row>
    <row r="14" spans="1:6" ht="15.75">
      <c r="A14" s="189"/>
      <c r="B14" s="68"/>
      <c r="C14" s="68"/>
      <c r="D14" s="69"/>
    </row>
    <row r="16" spans="1:6" ht="15.75">
      <c r="A16" s="63" t="s">
        <v>88</v>
      </c>
      <c r="B16" s="64" t="s">
        <v>83</v>
      </c>
      <c r="C16" s="64" t="s">
        <v>84</v>
      </c>
      <c r="D16" s="65" t="s">
        <v>85</v>
      </c>
    </row>
    <row r="17" spans="1:4" ht="15.75">
      <c r="A17" s="187" t="s">
        <v>86</v>
      </c>
      <c r="B17" s="66"/>
      <c r="C17" s="66"/>
      <c r="D17" s="67"/>
    </row>
    <row r="18" spans="1:4" ht="15.75">
      <c r="A18" s="188"/>
      <c r="B18" s="66"/>
      <c r="C18" s="66"/>
      <c r="D18" s="67"/>
    </row>
    <row r="19" spans="1:4" ht="15.75">
      <c r="A19" s="188"/>
      <c r="B19" s="66"/>
      <c r="C19" s="66"/>
      <c r="D19" s="67"/>
    </row>
    <row r="20" spans="1:4" ht="15.75">
      <c r="A20" s="188"/>
      <c r="B20" s="66"/>
      <c r="C20" s="66"/>
      <c r="D20" s="67"/>
    </row>
    <row r="21" spans="1:4" ht="15.75">
      <c r="A21" s="189"/>
      <c r="B21" s="68"/>
      <c r="C21" s="68"/>
      <c r="D21" s="69"/>
    </row>
    <row r="23" spans="1:4" ht="15.75">
      <c r="A23" s="63" t="s">
        <v>89</v>
      </c>
      <c r="B23" s="64" t="s">
        <v>83</v>
      </c>
      <c r="C23" s="64" t="s">
        <v>84</v>
      </c>
      <c r="D23" s="65" t="s">
        <v>85</v>
      </c>
    </row>
    <row r="24" spans="1:4" ht="15.75">
      <c r="A24" s="187" t="s">
        <v>86</v>
      </c>
      <c r="B24" s="66"/>
      <c r="C24" s="66"/>
      <c r="D24" s="67"/>
    </row>
    <row r="25" spans="1:4" ht="15.75">
      <c r="A25" s="188"/>
      <c r="B25" s="66"/>
      <c r="C25" s="66"/>
      <c r="D25" s="67"/>
    </row>
    <row r="26" spans="1:4" ht="15.75">
      <c r="A26" s="188"/>
      <c r="B26" s="66"/>
      <c r="C26" s="66"/>
      <c r="D26" s="67"/>
    </row>
    <row r="27" spans="1:4" ht="15.75">
      <c r="A27" s="188"/>
      <c r="B27" s="66"/>
      <c r="C27" s="66"/>
      <c r="D27" s="67"/>
    </row>
    <row r="28" spans="1:4" ht="15.75">
      <c r="A28" s="189"/>
      <c r="B28" s="68"/>
      <c r="C28" s="68"/>
      <c r="D28" s="69"/>
    </row>
    <row r="30" spans="1:4" ht="15.75">
      <c r="A30" s="63" t="s">
        <v>90</v>
      </c>
      <c r="B30" s="64" t="s">
        <v>83</v>
      </c>
      <c r="C30" s="64" t="s">
        <v>84</v>
      </c>
      <c r="D30" s="65" t="s">
        <v>85</v>
      </c>
    </row>
    <row r="31" spans="1:4" ht="15.75">
      <c r="A31" s="187" t="s">
        <v>86</v>
      </c>
      <c r="B31" s="66"/>
      <c r="C31" s="66"/>
      <c r="D31" s="67"/>
    </row>
    <row r="32" spans="1:4" ht="15.75">
      <c r="A32" s="188"/>
      <c r="B32" s="66"/>
      <c r="C32" s="66"/>
      <c r="D32" s="67"/>
    </row>
    <row r="33" spans="1:4" ht="15.75">
      <c r="A33" s="188"/>
      <c r="B33" s="66"/>
      <c r="C33" s="66"/>
      <c r="D33" s="67"/>
    </row>
    <row r="34" spans="1:4" ht="15.75">
      <c r="A34" s="188"/>
      <c r="B34" s="66"/>
      <c r="C34" s="66"/>
      <c r="D34" s="67"/>
    </row>
    <row r="35" spans="1:4" ht="15.75">
      <c r="A35" s="189"/>
      <c r="B35" s="68"/>
      <c r="C35" s="68"/>
      <c r="D35" s="69"/>
    </row>
    <row r="37" spans="1:4" ht="15.75">
      <c r="A37" s="63" t="s">
        <v>91</v>
      </c>
      <c r="B37" s="64" t="s">
        <v>83</v>
      </c>
      <c r="C37" s="64" t="s">
        <v>84</v>
      </c>
      <c r="D37" s="65" t="s">
        <v>85</v>
      </c>
    </row>
    <row r="38" spans="1:4" ht="15.75">
      <c r="A38" s="187" t="s">
        <v>86</v>
      </c>
      <c r="B38" s="66"/>
      <c r="C38" s="66"/>
      <c r="D38" s="67"/>
    </row>
    <row r="39" spans="1:4" ht="15.75">
      <c r="A39" s="188"/>
      <c r="B39" s="66"/>
      <c r="C39" s="66"/>
      <c r="D39" s="67"/>
    </row>
    <row r="40" spans="1:4" ht="15.75">
      <c r="A40" s="188"/>
      <c r="B40" s="66"/>
      <c r="C40" s="66"/>
      <c r="D40" s="67"/>
    </row>
    <row r="41" spans="1:4" ht="15.75">
      <c r="A41" s="188"/>
      <c r="B41" s="66"/>
      <c r="C41" s="66"/>
      <c r="D41" s="67"/>
    </row>
    <row r="42" spans="1:4" ht="15.75">
      <c r="A42" s="189"/>
      <c r="B42" s="68"/>
      <c r="C42" s="68"/>
      <c r="D42" s="69"/>
    </row>
  </sheetData>
  <mergeCells count="7">
    <mergeCell ref="A31:A35"/>
    <mergeCell ref="A38:A42"/>
    <mergeCell ref="A1:D1"/>
    <mergeCell ref="A3:A7"/>
    <mergeCell ref="A10:A14"/>
    <mergeCell ref="A17:A21"/>
    <mergeCell ref="A24:A2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ASISTENCIA </vt:lpstr>
      <vt:lpstr>BASE DE DATOS</vt:lpstr>
      <vt:lpstr>GRUPOS DE PROYECTO</vt:lpstr>
      <vt:lpstr>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Carlos Salcedo</cp:lastModifiedBy>
  <cp:revision/>
  <dcterms:created xsi:type="dcterms:W3CDTF">2026-03-13T13:52:24Z</dcterms:created>
  <dcterms:modified xsi:type="dcterms:W3CDTF">2026-04-30T23:19:28Z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2026-03-13T13:58:38Z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23f5a3b5-ad31-4650-9219-9d8489a3642e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