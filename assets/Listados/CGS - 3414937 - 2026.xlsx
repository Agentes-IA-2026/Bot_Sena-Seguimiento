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3A716324-4340-48B4-8A9F-211DD3F91A0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G34" i="1" l="1"/>
  <c r="H34" i="1"/>
  <c r="I34" i="1"/>
  <c r="F34" i="1" s="1"/>
  <c r="J34" i="1"/>
  <c r="K34" i="1"/>
  <c r="L34" i="1"/>
  <c r="M34" i="1"/>
  <c r="N34" i="1"/>
  <c r="A34" i="1"/>
  <c r="A35" i="1"/>
  <c r="A36" i="1"/>
  <c r="A37" i="1"/>
  <c r="A38" i="1" s="1"/>
  <c r="A39" i="1" s="1"/>
  <c r="A40" i="1" s="1"/>
  <c r="A41" i="1" s="1"/>
  <c r="A42" i="1" s="1"/>
  <c r="A43" i="1" s="1"/>
  <c r="A35" i="2"/>
  <c r="A36" i="2" s="1"/>
  <c r="A37" i="2" s="1"/>
  <c r="A38" i="2" s="1"/>
  <c r="A39" i="2" s="1"/>
  <c r="A40" i="2" s="1"/>
  <c r="A41" i="2" s="1"/>
  <c r="A42" i="2" s="1"/>
  <c r="A43" i="2" s="1"/>
  <c r="A44" i="2" s="1"/>
  <c r="H42" i="1"/>
  <c r="I37" i="1"/>
  <c r="F37" i="1" s="1"/>
  <c r="I27" i="1"/>
  <c r="F27" i="1" s="1"/>
  <c r="I28" i="1"/>
  <c r="F28" i="1" s="1"/>
  <c r="I29" i="1"/>
  <c r="F29" i="1" s="1"/>
  <c r="H23" i="1"/>
  <c r="I25" i="1"/>
  <c r="F25" i="1" s="1"/>
  <c r="I16" i="1"/>
  <c r="F16" i="1" s="1"/>
  <c r="B14" i="1"/>
  <c r="C14" i="1"/>
  <c r="D14" i="1"/>
  <c r="G14" i="1"/>
  <c r="H14" i="1"/>
  <c r="O14" i="1" s="1"/>
  <c r="I14" i="1"/>
  <c r="F14" i="1" s="1"/>
  <c r="J14" i="1"/>
  <c r="K14" i="1"/>
  <c r="L14" i="1"/>
  <c r="N14" i="1"/>
  <c r="CY2" i="1"/>
  <c r="C10" i="1"/>
  <c r="C11" i="1"/>
  <c r="C12" i="1"/>
  <c r="C13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9" i="1"/>
  <c r="O34" i="1" l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42" i="1"/>
  <c r="DV42" i="1"/>
  <c r="M43" i="1" s="1"/>
  <c r="N43" i="1"/>
  <c r="L43" i="1"/>
  <c r="K43" i="1"/>
  <c r="J43" i="1"/>
  <c r="I43" i="1"/>
  <c r="F43" i="1" s="1"/>
  <c r="H43" i="1"/>
  <c r="G43" i="1"/>
  <c r="B43" i="1"/>
  <c r="DW41" i="1"/>
  <c r="DV41" i="1"/>
  <c r="M42" i="1" s="1"/>
  <c r="N42" i="1"/>
  <c r="L42" i="1"/>
  <c r="K42" i="1"/>
  <c r="J42" i="1"/>
  <c r="I42" i="1"/>
  <c r="G42" i="1"/>
  <c r="B42" i="1"/>
  <c r="DW40" i="1"/>
  <c r="DV40" i="1"/>
  <c r="N41" i="1"/>
  <c r="L41" i="1"/>
  <c r="K41" i="1"/>
  <c r="J41" i="1"/>
  <c r="I41" i="1"/>
  <c r="F41" i="1" s="1"/>
  <c r="H41" i="1"/>
  <c r="G41" i="1"/>
  <c r="B41" i="1"/>
  <c r="DW39" i="1"/>
  <c r="M40" i="1" s="1"/>
  <c r="DV39" i="1"/>
  <c r="N40" i="1"/>
  <c r="L40" i="1"/>
  <c r="K40" i="1"/>
  <c r="J40" i="1"/>
  <c r="I40" i="1"/>
  <c r="F40" i="1" s="1"/>
  <c r="H40" i="1"/>
  <c r="G40" i="1"/>
  <c r="B40" i="1"/>
  <c r="DW38" i="1"/>
  <c r="DV38" i="1"/>
  <c r="N39" i="1"/>
  <c r="L39" i="1"/>
  <c r="K39" i="1"/>
  <c r="J39" i="1"/>
  <c r="I39" i="1"/>
  <c r="F39" i="1" s="1"/>
  <c r="H39" i="1"/>
  <c r="G39" i="1"/>
  <c r="B39" i="1"/>
  <c r="DW37" i="1"/>
  <c r="DV37" i="1"/>
  <c r="M38" i="1" s="1"/>
  <c r="N38" i="1"/>
  <c r="L38" i="1"/>
  <c r="K38" i="1"/>
  <c r="J38" i="1"/>
  <c r="I38" i="1"/>
  <c r="F38" i="1" s="1"/>
  <c r="H38" i="1"/>
  <c r="G38" i="1"/>
  <c r="B38" i="1"/>
  <c r="DW36" i="1"/>
  <c r="DV36" i="1"/>
  <c r="N37" i="1"/>
  <c r="L37" i="1"/>
  <c r="K37" i="1"/>
  <c r="J37" i="1"/>
  <c r="H37" i="1"/>
  <c r="G37" i="1"/>
  <c r="B37" i="1"/>
  <c r="DW35" i="1"/>
  <c r="M36" i="1" s="1"/>
  <c r="DV35" i="1"/>
  <c r="N36" i="1"/>
  <c r="L36" i="1"/>
  <c r="K36" i="1"/>
  <c r="J36" i="1"/>
  <c r="I36" i="1"/>
  <c r="F36" i="1" s="1"/>
  <c r="H36" i="1"/>
  <c r="G36" i="1"/>
  <c r="B36" i="1"/>
  <c r="DW34" i="1"/>
  <c r="DV34" i="1"/>
  <c r="N35" i="1"/>
  <c r="L35" i="1"/>
  <c r="K35" i="1"/>
  <c r="J35" i="1"/>
  <c r="I35" i="1"/>
  <c r="F35" i="1" s="1"/>
  <c r="H35" i="1"/>
  <c r="G35" i="1"/>
  <c r="B35" i="1"/>
  <c r="B34" i="1"/>
  <c r="DW33" i="1"/>
  <c r="DV33" i="1"/>
  <c r="DW32" i="1"/>
  <c r="DV32" i="1"/>
  <c r="M33" i="1" s="1"/>
  <c r="N33" i="1"/>
  <c r="L33" i="1"/>
  <c r="K33" i="1"/>
  <c r="J33" i="1"/>
  <c r="I33" i="1"/>
  <c r="F33" i="1" s="1"/>
  <c r="H33" i="1"/>
  <c r="O33" i="1" s="1"/>
  <c r="G33" i="1"/>
  <c r="B33" i="1"/>
  <c r="DW31" i="1"/>
  <c r="DV31" i="1"/>
  <c r="N32" i="1"/>
  <c r="M32" i="1"/>
  <c r="L32" i="1"/>
  <c r="K32" i="1"/>
  <c r="J32" i="1"/>
  <c r="I32" i="1"/>
  <c r="F32" i="1" s="1"/>
  <c r="H32" i="1"/>
  <c r="G32" i="1"/>
  <c r="B32" i="1"/>
  <c r="DW30" i="1"/>
  <c r="M31" i="1" s="1"/>
  <c r="DV30" i="1"/>
  <c r="N31" i="1"/>
  <c r="L31" i="1"/>
  <c r="K31" i="1"/>
  <c r="J31" i="1"/>
  <c r="I31" i="1"/>
  <c r="F31" i="1" s="1"/>
  <c r="H31" i="1"/>
  <c r="G31" i="1"/>
  <c r="B31" i="1"/>
  <c r="DW29" i="1"/>
  <c r="DV29" i="1"/>
  <c r="N30" i="1"/>
  <c r="L30" i="1"/>
  <c r="K30" i="1"/>
  <c r="J30" i="1"/>
  <c r="I30" i="1"/>
  <c r="F30" i="1" s="1"/>
  <c r="H30" i="1"/>
  <c r="G30" i="1"/>
  <c r="B30" i="1"/>
  <c r="DW28" i="1"/>
  <c r="DV28" i="1"/>
  <c r="N29" i="1"/>
  <c r="L29" i="1"/>
  <c r="K29" i="1"/>
  <c r="J29" i="1"/>
  <c r="H29" i="1"/>
  <c r="O29" i="1" s="1"/>
  <c r="G29" i="1"/>
  <c r="B29" i="1"/>
  <c r="DW27" i="1"/>
  <c r="DV27" i="1"/>
  <c r="N28" i="1"/>
  <c r="M28" i="1"/>
  <c r="L28" i="1"/>
  <c r="K28" i="1"/>
  <c r="J28" i="1"/>
  <c r="H28" i="1"/>
  <c r="G28" i="1"/>
  <c r="B28" i="1"/>
  <c r="DW26" i="1"/>
  <c r="DV26" i="1"/>
  <c r="N27" i="1"/>
  <c r="L27" i="1"/>
  <c r="K27" i="1"/>
  <c r="J27" i="1"/>
  <c r="H27" i="1"/>
  <c r="G27" i="1"/>
  <c r="B27" i="1"/>
  <c r="DW25" i="1"/>
  <c r="DV25" i="1"/>
  <c r="N26" i="1"/>
  <c r="L26" i="1"/>
  <c r="K26" i="1"/>
  <c r="J26" i="1"/>
  <c r="I26" i="1"/>
  <c r="F26" i="1" s="1"/>
  <c r="H26" i="1"/>
  <c r="G26" i="1"/>
  <c r="B26" i="1"/>
  <c r="DW24" i="1"/>
  <c r="DV24" i="1"/>
  <c r="N25" i="1"/>
  <c r="L25" i="1"/>
  <c r="K25" i="1"/>
  <c r="J25" i="1"/>
  <c r="H25" i="1"/>
  <c r="G25" i="1"/>
  <c r="B25" i="1"/>
  <c r="DW23" i="1"/>
  <c r="DV23" i="1"/>
  <c r="M24" i="1" s="1"/>
  <c r="N24" i="1"/>
  <c r="L24" i="1"/>
  <c r="K24" i="1"/>
  <c r="J24" i="1"/>
  <c r="I24" i="1"/>
  <c r="F24" i="1" s="1"/>
  <c r="H24" i="1"/>
  <c r="G24" i="1"/>
  <c r="B24" i="1"/>
  <c r="DW22" i="1"/>
  <c r="M23" i="1" s="1"/>
  <c r="DV22" i="1"/>
  <c r="N23" i="1"/>
  <c r="L23" i="1"/>
  <c r="K23" i="1"/>
  <c r="J23" i="1"/>
  <c r="I23" i="1"/>
  <c r="F23" i="1" s="1"/>
  <c r="G23" i="1"/>
  <c r="B23" i="1"/>
  <c r="DW21" i="1"/>
  <c r="DV21" i="1"/>
  <c r="M22" i="1" s="1"/>
  <c r="N22" i="1"/>
  <c r="L22" i="1"/>
  <c r="K22" i="1"/>
  <c r="J22" i="1"/>
  <c r="I22" i="1"/>
  <c r="F22" i="1" s="1"/>
  <c r="H22" i="1"/>
  <c r="G22" i="1"/>
  <c r="B22" i="1"/>
  <c r="DW20" i="1"/>
  <c r="DV20" i="1"/>
  <c r="M21" i="1" s="1"/>
  <c r="N21" i="1"/>
  <c r="L21" i="1"/>
  <c r="K21" i="1"/>
  <c r="J21" i="1"/>
  <c r="I21" i="1"/>
  <c r="F21" i="1" s="1"/>
  <c r="H21" i="1"/>
  <c r="G21" i="1"/>
  <c r="B21" i="1"/>
  <c r="DW19" i="1"/>
  <c r="DV19" i="1"/>
  <c r="M20" i="1" s="1"/>
  <c r="N20" i="1"/>
  <c r="L20" i="1"/>
  <c r="K20" i="1"/>
  <c r="J20" i="1"/>
  <c r="I20" i="1"/>
  <c r="F20" i="1" s="1"/>
  <c r="H20" i="1"/>
  <c r="G20" i="1"/>
  <c r="B20" i="1"/>
  <c r="DW18" i="1"/>
  <c r="M19" i="1" s="1"/>
  <c r="DV18" i="1"/>
  <c r="N19" i="1"/>
  <c r="L19" i="1"/>
  <c r="K19" i="1"/>
  <c r="J19" i="1"/>
  <c r="I19" i="1"/>
  <c r="F19" i="1" s="1"/>
  <c r="H19" i="1"/>
  <c r="G19" i="1"/>
  <c r="B19" i="1"/>
  <c r="DW17" i="1"/>
  <c r="DV17" i="1"/>
  <c r="N18" i="1"/>
  <c r="L18" i="1"/>
  <c r="K18" i="1"/>
  <c r="J18" i="1"/>
  <c r="I18" i="1"/>
  <c r="F18" i="1" s="1"/>
  <c r="H18" i="1"/>
  <c r="G18" i="1"/>
  <c r="B18" i="1"/>
  <c r="DW16" i="1"/>
  <c r="DV16" i="1"/>
  <c r="N17" i="1"/>
  <c r="L17" i="1"/>
  <c r="K17" i="1"/>
  <c r="J17" i="1"/>
  <c r="I17" i="1"/>
  <c r="F17" i="1" s="1"/>
  <c r="H17" i="1"/>
  <c r="G17" i="1"/>
  <c r="B17" i="1"/>
  <c r="DW15" i="1"/>
  <c r="DV15" i="1"/>
  <c r="M16" i="1" s="1"/>
  <c r="N16" i="1"/>
  <c r="L16" i="1"/>
  <c r="K16" i="1"/>
  <c r="J16" i="1"/>
  <c r="H16" i="1"/>
  <c r="G16" i="1"/>
  <c r="B16" i="1"/>
  <c r="DW14" i="1"/>
  <c r="M15" i="1" s="1"/>
  <c r="DV14" i="1"/>
  <c r="N15" i="1"/>
  <c r="L15" i="1"/>
  <c r="K15" i="1"/>
  <c r="J15" i="1"/>
  <c r="I15" i="1"/>
  <c r="F15" i="1" s="1"/>
  <c r="H15" i="1"/>
  <c r="O15" i="1" s="1"/>
  <c r="G15" i="1"/>
  <c r="B15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M11" i="1" s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O10" i="1" s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G6" i="1"/>
  <c r="O12" i="1" l="1"/>
  <c r="O41" i="1"/>
  <c r="O39" i="1"/>
  <c r="O22" i="1"/>
  <c r="O30" i="1"/>
  <c r="O28" i="1"/>
  <c r="O27" i="1"/>
  <c r="O26" i="1"/>
  <c r="O25" i="1"/>
  <c r="O24" i="1"/>
  <c r="O23" i="1"/>
  <c r="O21" i="1"/>
  <c r="O20" i="1"/>
  <c r="O19" i="1"/>
  <c r="O18" i="1"/>
  <c r="O17" i="1"/>
  <c r="O16" i="1"/>
  <c r="O13" i="1"/>
  <c r="O11" i="1"/>
  <c r="O37" i="1"/>
  <c r="O43" i="1"/>
  <c r="F42" i="1"/>
  <c r="O42" i="1"/>
  <c r="O40" i="1"/>
  <c r="O38" i="1"/>
  <c r="O36" i="1"/>
  <c r="O35" i="1"/>
  <c r="O32" i="1"/>
  <c r="O31" i="1"/>
  <c r="M9" i="1"/>
  <c r="M10" i="1"/>
  <c r="M12" i="1"/>
  <c r="M14" i="1"/>
  <c r="M17" i="1"/>
  <c r="M25" i="1"/>
  <c r="M27" i="1"/>
  <c r="M30" i="1"/>
  <c r="M39" i="1"/>
  <c r="M41" i="1"/>
  <c r="M13" i="1"/>
  <c r="M18" i="1"/>
  <c r="M26" i="1"/>
  <c r="M29" i="1"/>
  <c r="M35" i="1"/>
  <c r="M37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<sst xmlns="http://schemas.openxmlformats.org/spreadsheetml/2006/main" count="843" uniqueCount="365">
  <si>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</si>
  <si>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</si>
  <si>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</si>
  <si>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</si>
  <si>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</si>
  <si>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</si>
  <si>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</si>
  <si>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</si>
  <si>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</si>
  <si>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</si>
  <si>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</si>
  <si>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</si>
  <si>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</si>
  <si>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</si>
  <si>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</si>
  <si>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</si>
  <si>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</si>
  <si>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</si>
  <si>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</si>
  <si>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</si>
  <si>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</si>
  <si>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</si>
  <si>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</si>
  <si>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</si>
  <si>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</si>
  <si>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</si>
  <si>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</si>
  <si>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</si>
  <si>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</si>
  <si>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</si>
  <si>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</si>
  <si>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</si>
  <si>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</si>
  <si>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</si>
  <si>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</si>
  <si>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</si>
  <si>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</si>
  <si>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</si>
  <si>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</si>
  <si>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</si>
  <si>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</si>
  <si>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</si>
  <si>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</si>
  <si>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</si>
  <si>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</si>
  <si>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</si>
  <si>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</si>
  <si>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</si>
  <si>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</si>
  <si>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</si>
  <si>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</si>
  <si>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</si>
  <si>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</si>
  <si>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</si>
  <si>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</si>
  <si>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</si>
  <si>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</si>
  <si>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</si>
  <si>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</si>
  <si>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</si>
  <si>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</si>
  <si>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</si>
  <si>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</si>
  <si>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</si>
  <si>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</si>
  <si>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</si>
  <si>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</si>
  <si>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</si>
  <si>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</si>
  <si>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</si>
  <si>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</si>
  <si>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</si>
  <si>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</si>
  <si>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</si>
  <si>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</si>
  <si>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</si>
  <si>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</si>
  <si>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</si>
  <si>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</si>
  <si>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</si>
  <si>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</si>
  <si>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</si>
  <si>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</si>
  <si>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</si>
  <si>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</si>
  <si>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</si>
  <si>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</si>
  <si>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</si>
  <si>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</si>
  <si>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</si>
  <si>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</si>
  <si>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Deivy Jeampier Albiadez Pulido</t>
  </si>
  <si>
    <t>Danna Nataly Álvarez Caraballo</t>
  </si>
  <si>
    <t>Carly Maia Blanco Avendaño</t>
  </si>
  <si>
    <t>Melany Sofia Casas Montenegro</t>
  </si>
  <si>
    <t>Keimy Dayana Cuaji Franco</t>
  </si>
  <si>
    <t>Katherine Vanessa Díaz Diaz</t>
  </si>
  <si>
    <t>Daniel Steven Garzón Quintana</t>
  </si>
  <si>
    <t>Sharith Yesid González Rodríguez</t>
  </si>
  <si>
    <t>Aurimar Fernanda Lizarazo Silva</t>
  </si>
  <si>
    <t>María Valentina Lozano Parra</t>
  </si>
  <si>
    <t>Danna Michelle Madrid Meyer</t>
  </si>
  <si>
    <t>Sara Sofia Montaño Milkes</t>
  </si>
  <si>
    <t>Sara Sofía Parra Cubillos</t>
  </si>
  <si>
    <t>Maikelys Alexandra Pereira Ávila</t>
  </si>
  <si>
    <t>Ana Sofia Rodríguez Bernal</t>
  </si>
  <si>
    <t>Esteban Alejandro Suárez Barros</t>
  </si>
  <si>
    <t>Camila Antonella Vargas Gil</t>
  </si>
  <si>
    <t>Asly Julieth Acosta Bohórquez</t>
  </si>
  <si>
    <t>Andrés Uriel Arévalo Guerrero</t>
  </si>
  <si>
    <t>Angie Nikole Ballesteros Pachón</t>
  </si>
  <si>
    <t>Danna Nicol Caldera González</t>
  </si>
  <si>
    <t>Laura Tatiana Cardona Arenas</t>
  </si>
  <si>
    <t>Karol Dayan Chisco Rodríguez</t>
  </si>
  <si>
    <t>Olith Fernando Escalante Parada</t>
  </si>
  <si>
    <t>Danna Stephani Hernández Rivera</t>
  </si>
  <si>
    <t>Laura Sofia Hernández Torres</t>
  </si>
  <si>
    <t>Samantha León Moscoso</t>
  </si>
  <si>
    <t>Joseph Andrés Mendoza Castañeda</t>
  </si>
  <si>
    <t>Alejandro Quintero Ramírez</t>
  </si>
  <si>
    <t>Miguel Ángel Romero Alonso</t>
  </si>
  <si>
    <t>Leidy Katherin Suarez Hernández</t>
  </si>
  <si>
    <t>Miguel Ángel Zorro Ayala</t>
  </si>
  <si>
    <t>COMUNICACIÓN COMERCIAL Y MARKETING</t>
  </si>
  <si>
    <t>COLEGIO GENERAL SANTADER</t>
  </si>
  <si>
    <t>PPT</t>
  </si>
  <si>
    <t>TI</t>
  </si>
  <si>
    <t>aslyacostab3064@gmail.com</t>
  </si>
  <si>
    <t>deivy0375@gmail.com</t>
  </si>
  <si>
    <t>dannitaalvarez470@gmail.com</t>
  </si>
  <si>
    <t>andresurielarevalo@gmail.com</t>
  </si>
  <si>
    <t>angienballesteros@gmail.com</t>
  </si>
  <si>
    <t>outtmaia@gmail.com</t>
  </si>
  <si>
    <t>dannacaldera2009@gmail.com</t>
  </si>
  <si>
    <t>lauratatianacardonaa11@gmail.com</t>
  </si>
  <si>
    <t>melanysofia2110@gmail.com</t>
  </si>
  <si>
    <t>karolchisco821@gmail.com</t>
  </si>
  <si>
    <t>dayana95.cf@gmail.com</t>
  </si>
  <si>
    <t>vanes.13sol@gmail.com</t>
  </si>
  <si>
    <t>fernandoescalanteparada@gmail.com</t>
  </si>
  <si>
    <t>danielgarzon847@gmail.com</t>
  </si>
  <si>
    <t>marthaliliana460@gmail.com</t>
  </si>
  <si>
    <t>danita1802julian@gmail.com</t>
  </si>
  <si>
    <t>sofia.hernandez2010.24@gmail.com</t>
  </si>
  <si>
    <t>luissantiagohuguezzumaque@gmail.com</t>
  </si>
  <si>
    <t>leonmoscososamantha609@gmail.com</t>
  </si>
  <si>
    <t>aurimarlizarazo9650@gmail.com</t>
  </si>
  <si>
    <t>artevalelozano2806@gmail.com</t>
  </si>
  <si>
    <t>dannaflorez0204@gmail.com</t>
  </si>
  <si>
    <t>jm5935279@gmail.com</t>
  </si>
  <si>
    <t>montanomilkessarasofia@gmail.com</t>
  </si>
  <si>
    <t>sarita.preciosa16@gmail.com</t>
  </si>
  <si>
    <t>pereiramaikelys2@gmail.com</t>
  </si>
  <si>
    <t xml:space="preserve">quinteroramirezalejandro8@gmail.com </t>
  </si>
  <si>
    <t>immortalxdxrb1@gmail.com</t>
  </si>
  <si>
    <t>migueluzui71@gmail.com</t>
  </si>
  <si>
    <t>esteban.suarez.24v2026@gmail.com</t>
  </si>
  <si>
    <t>katherinsuarez160@gmail.com</t>
  </si>
  <si>
    <t>sammyurresty@gmail.com</t>
  </si>
  <si>
    <t>gilcamila453@gmail.com</t>
  </si>
  <si>
    <t>miguelzorroa12@gmail.com</t>
  </si>
  <si>
    <t>Edgar Ruben Acosta Tunjano</t>
  </si>
  <si>
    <t>Egar0262@gmail.com</t>
  </si>
  <si>
    <t>https://drive.google.com/drive/folders/1k3NdOgymyRD0WdxNCSOsMksBK8FbDsGs</t>
  </si>
  <si>
    <t>Iveth Alejandra Pulido Rocha</t>
  </si>
  <si>
    <t>https://drive.google.com/drive/folders/1TOwd03Mcw7xduy5_X75rjApzwIr2mUry</t>
  </si>
  <si>
    <t>305 2529811</t>
  </si>
  <si>
    <t>Doris Caraballo</t>
  </si>
  <si>
    <t>Dorismaria1106@Hotmail.com</t>
  </si>
  <si>
    <t>321 8494597</t>
  </si>
  <si>
    <t>https://drive.google.com/drive/folders/1UvEXLeYYChGMB6wUiNVb17_btPVcK_nK</t>
  </si>
  <si>
    <t>MARY LUZ GUERRERO</t>
  </si>
  <si>
    <t>marysitaguerrero8@gmail.com</t>
  </si>
  <si>
    <t>https://drive.google.com/drive/folders/1ImJha9CH-EHy1ofiF9yPTxDOCP0dvgHx?usp=drive_link</t>
  </si>
  <si>
    <t>AURORA DEL CARMEN PACHON MORA</t>
  </si>
  <si>
    <t>aurorapachon80@gmail.com</t>
  </si>
  <si>
    <t>https://drive.google.com/drive/folders/1AEryG8p5h8NFUswTLvjVZTCcxIqtkmpN?usp=drive_link</t>
  </si>
  <si>
    <t>Lidia Avendaño</t>
  </si>
  <si>
    <t>illamix@hotmail.com</t>
  </si>
  <si>
    <t>https://drive.google.com/drive/folders/11fCpbDqZrckNA-nS8W_1nvZ6jEsjzkfR</t>
  </si>
  <si>
    <t>Odair Caldera</t>
  </si>
  <si>
    <t>Odaircaldera86@gmail.com</t>
  </si>
  <si>
    <t>https://drive.google.com/drive/folders/1yH8FKIqvFwYUg59CBiKkCyPZ_YNcePX_</t>
  </si>
  <si>
    <t>ANA ISABEL ARENAS FRANCO</t>
  </si>
  <si>
    <t>anaisabelarenasfranco@gmail.com</t>
  </si>
  <si>
    <t>https://drive.google.com/drive/folders/1sfBPu54s025TQAhE0zRg3KzCs46chjK6</t>
  </si>
  <si>
    <t>Barbara Ines Montenegro Salazar</t>
  </si>
  <si>
    <t>bims19861@gmail.com</t>
  </si>
  <si>
    <t>https://drive.google.com/drive/folders/1s--tHfSvvLH6SC9hV9JuPqNGB9DX8uBA?usp=drive_link</t>
  </si>
  <si>
    <t>Maria Yaneth Rodriguez Hernandez</t>
  </si>
  <si>
    <t>linamilenacortes@hotmail.com</t>
  </si>
  <si>
    <t>https://drive.google.com/drive/folders/1vEGGZNXAPh4O-lmD48j-8_y_IsG8aCDN</t>
  </si>
  <si>
    <t>Tatiana Franco</t>
  </si>
  <si>
    <t>Tatyco95.tf@gmail.com</t>
  </si>
  <si>
    <t>https://drive.google.com/drive/folders/1H3a1x414QstuqQ7TBrMQ_cgkCDOB0v3m</t>
  </si>
  <si>
    <t>3242326659-3204388814</t>
  </si>
  <si>
    <t>Andrea Diaz</t>
  </si>
  <si>
    <t>paola.19mp@gmail.com</t>
  </si>
  <si>
    <t>https://drive.google.com/drive/folders/18Npecw-xZw9YScJkGObLUHvv8POyZu7t</t>
  </si>
  <si>
    <t>Jenny Patricia parada araque</t>
  </si>
  <si>
    <t>paradaaraquejennypatricia@gmail.com</t>
  </si>
  <si>
    <t>https://drive.google.com/drive/folders/1ZxKJbYXB_xqCk1vUXOMyqimmjvIZ5D4B</t>
  </si>
  <si>
    <t>Rosa María Quintana</t>
  </si>
  <si>
    <t>qrosa3959@gmail.com</t>
  </si>
  <si>
    <t>https://drive.google.com/drive/folders/1GQVi_mPO5llBvVv6s_tdNpdoOpCjeBrx</t>
  </si>
  <si>
    <t>Andrés Castillo</t>
  </si>
  <si>
    <t>andresfelipecastillosolis2@gmail.com</t>
  </si>
  <si>
    <t>https://drive.google.com/drive/folders/1tZj3sBPTy6gq7MM9rjZGyslwPa6jFLvR</t>
  </si>
  <si>
    <t>Diana Lisbed Rivera Hernandez</t>
  </si>
  <si>
    <t>bedlis18@hotmail.com</t>
  </si>
  <si>
    <t>https://drive.google.com/drive/folders/1mvZrxhN4eazpzM6jlHrR3dzy_7p3Pgc8?usp=drive_link</t>
  </si>
  <si>
    <t>Anny julieth torres</t>
  </si>
  <si>
    <t>Sofia.hernandez2010.24@gmail.com</t>
  </si>
  <si>
    <t>https://drive.google.com/drive/folders/1C8HeAGLX1McdZIr7YsLpiodTptydJEXk</t>
  </si>
  <si>
    <t>Luis Alfonso</t>
  </si>
  <si>
    <t>Huguez Ávila</t>
  </si>
  <si>
    <t>https://drive.google.com/drive/folders/1zAFSxXV8knFWdt3SnSSbp3g6XBrAslaY</t>
  </si>
  <si>
    <t>Angélica Moscoso</t>
  </si>
  <si>
    <t>angelicamoscosovaron@gmail.com</t>
  </si>
  <si>
    <t>https://drive.google.com/drive/folders/1dR8iXzQxHa4WkxNt95rhibGMS3s46iGE</t>
  </si>
  <si>
    <t>Yolanda Silva González</t>
  </si>
  <si>
    <t>yolisilva063122@gmail.com</t>
  </si>
  <si>
    <t>https://drive.google.com/drive/folders/1M5_Y7n-489oacnosZEqHHvfnPrlhZ1hD</t>
  </si>
  <si>
    <t>Paula Alexandra Parra Forero</t>
  </si>
  <si>
    <t>mariajovale2816@gmail.com</t>
  </si>
  <si>
    <t>321 9576258</t>
  </si>
  <si>
    <t>https://drive.google.com/drive/folders/1-f407YMyOQfzWLQ42gluQamUSmVkOooY</t>
  </si>
  <si>
    <t>Yasmeri meyer</t>
  </si>
  <si>
    <t>Meyeryas@gmail.com</t>
  </si>
  <si>
    <t>https://drive.google.com/drive/folders/1WCDWrCBb4a2Apu_WnRpF1DSb0iuQ5O01</t>
  </si>
  <si>
    <t>Yudy marcela</t>
  </si>
  <si>
    <t>judycas1979@gmail.com</t>
  </si>
  <si>
    <t>https://drive.google.com/drive/folders/1Phau3X0Gve2jV_0ZG0dkB2GJ7VWR_UJl</t>
  </si>
  <si>
    <t>323 3016319</t>
  </si>
  <si>
    <t>Iris Milkes</t>
  </si>
  <si>
    <t>irism08-garcia@hotmail.com</t>
  </si>
  <si>
    <t>320 3540745</t>
  </si>
  <si>
    <t>https://drive.google.com/drive/folders/18TLciYKkSo1OTwm7NBX201-7hG45q1J6</t>
  </si>
  <si>
    <t>Diana Carolina Cubillos</t>
  </si>
  <si>
    <t>Familia sacerdotal.parra@gmail.com</t>
  </si>
  <si>
    <t>https://drive.google.com/drive/folders/1vpra726GkuCaTT2D43wEPkTcSJYXiiVJ</t>
  </si>
  <si>
    <t>Alexandra</t>
  </si>
  <si>
    <t>Alessandraavila2525@gmail.com</t>
  </si>
  <si>
    <t>https://drive.google.com/drive/folders/1zJH3jR-aa6aAEPY_A-bY9SkIQsGPBAgg</t>
  </si>
  <si>
    <t>Gloria Quiceno Ramírez</t>
  </si>
  <si>
    <t>Gloritaramirez01@gmail.com</t>
  </si>
  <si>
    <t>https://drive.google.com/drive/folders/1lsC7Afk7IGSt7olWJHSpo5hz36VjaFm_</t>
  </si>
  <si>
    <t>María del pilar Bernal Quintero</t>
  </si>
  <si>
    <t>rhpilarbernal@hotmail.com</t>
  </si>
  <si>
    <t>https://drive.google.com/drive/folders/11WynICGIxVqWDDkw0VWrftkHXDDXzU1F</t>
  </si>
  <si>
    <t>Olga Alonso Acosta</t>
  </si>
  <si>
    <t>alonsoolga933@gmail.com</t>
  </si>
  <si>
    <t>https://drive.google.com/drive/folders/1aA8ur4sEytm3j8taBlD4_PJj2yqe2s3i</t>
  </si>
  <si>
    <t>Mishel Vanessa Barros Nonsoque</t>
  </si>
  <si>
    <t>vanessabarros1993ok@gmail.com</t>
  </si>
  <si>
    <t>https://drive.google.com/drive/folders/1IKAiPSXT47lBcCKKbDtBiQMIKjcelag7</t>
  </si>
  <si>
    <t>Luz Herli Hernandez Culma</t>
  </si>
  <si>
    <t>luzherlihernandez1013@gmail.com</t>
  </si>
  <si>
    <t>https://drive.google.com/drive/folders/1uShBbKq8EPJGyeuo9fnfp6y7cWT9KUgV?usp=drive_link</t>
  </si>
  <si>
    <t>José urresty</t>
  </si>
  <si>
    <t>Joseurresty.telefonia@gmail.com</t>
  </si>
  <si>
    <t>https://drive.google.com/drive/u/0/mobile/folders/1PFx0r8B6FSXYvtfrNI1tKCByEeETclPb/1-KN7EBSSYio-cPYXqdWS3GBpOlsVYYBM/1oV4lT9d79o2zlJEIAnOmocdD6sRGU2oM?pli=1&amp;sort=13&amp;direction=a</t>
  </si>
  <si>
    <t>Fabiola Gil</t>
  </si>
  <si>
    <t>Fabigilton59@gmail.com</t>
  </si>
  <si>
    <t>304 3993119</t>
  </si>
  <si>
    <t>https://drive.google.com/drive/folders/1AAb6J6JvxmD-6BivqazwhUMx7WWvKnSV</t>
  </si>
  <si>
    <t>Alejandro zorro</t>
  </si>
  <si>
    <t>https://drive.google.com/drive/folders/1oJ5hKe5clA5o7FrjDAFIEt_lZoIpZanH</t>
  </si>
  <si>
    <t>Carlos Enrique Bastidas Alcala</t>
  </si>
  <si>
    <t>carlosenriquebastidas3@gmail.com</t>
  </si>
  <si>
    <t>Carlos Eduardo Bastidas Vasquez</t>
  </si>
  <si>
    <t>carlosbastidas014@gmail.com</t>
  </si>
  <si>
    <t>https://drive.google.com/drive/folders/1H4Azke62jZddJxJKPQBP9pH6eXxkOnRs?usp=drive_link</t>
  </si>
  <si>
    <t>N° 7</t>
  </si>
  <si>
    <t>N° 8</t>
  </si>
  <si>
    <t>Asly Julieth</t>
  </si>
  <si>
    <t>Acosta Bohórquez</t>
  </si>
  <si>
    <t>N° 9</t>
  </si>
  <si>
    <t>Keimy Dayana</t>
  </si>
  <si>
    <t>Cuaji Franco</t>
  </si>
  <si>
    <t>Olith Fernando</t>
  </si>
  <si>
    <t>Escalante Parada</t>
  </si>
  <si>
    <t>Joseph Andrés</t>
  </si>
  <si>
    <t xml:space="preserve"> Mendoza Castañeda</t>
  </si>
  <si>
    <t>Deivy Jeampier</t>
  </si>
  <si>
    <t>Albiadez Pulido</t>
  </si>
  <si>
    <t>Sara Sofía</t>
  </si>
  <si>
    <t>Parra Cubillos</t>
  </si>
  <si>
    <t>Ana Sofia</t>
  </si>
  <si>
    <t>Rodríguez Bernal</t>
  </si>
  <si>
    <t>Samuel Urresty Muñoz</t>
  </si>
  <si>
    <t>Samuel</t>
  </si>
  <si>
    <t>Urresty Muñoz</t>
  </si>
  <si>
    <t>Danna Nataly</t>
  </si>
  <si>
    <t>Álvarez Caraballo</t>
  </si>
  <si>
    <t>Samantha</t>
  </si>
  <si>
    <t>León Moscoso</t>
  </si>
  <si>
    <t>Alejandro</t>
  </si>
  <si>
    <t>Quintero Ramírez</t>
  </si>
  <si>
    <t xml:space="preserve">Miguel Ángel </t>
  </si>
  <si>
    <t>Zorro Ayala</t>
  </si>
  <si>
    <t>miguelzorroa12@gmail.com}</t>
  </si>
  <si>
    <t>Andrés Uriel</t>
  </si>
  <si>
    <t>Arévalo Guerrero</t>
  </si>
  <si>
    <t>Danna Stephani</t>
  </si>
  <si>
    <t>Hernández Rivera</t>
  </si>
  <si>
    <t>Angie Nikole</t>
  </si>
  <si>
    <t>Leidy Katherin</t>
  </si>
  <si>
    <t>Suarez Hernández</t>
  </si>
  <si>
    <t>Carlos Enrique</t>
  </si>
  <si>
    <t>Bastidas Alcala</t>
  </si>
  <si>
    <t>Camila Antonella</t>
  </si>
  <si>
    <t>Vargas Gil</t>
  </si>
  <si>
    <t>María Valentina</t>
  </si>
  <si>
    <t>Lozano Parra</t>
  </si>
  <si>
    <t>Laura Tatiana</t>
  </si>
  <si>
    <t>Cardona Arenas</t>
  </si>
  <si>
    <t xml:space="preserve">Carly Maia </t>
  </si>
  <si>
    <t>Blanco Avendaño</t>
  </si>
  <si>
    <t>Laura Sofia</t>
  </si>
  <si>
    <t>Maikelys Alexandra</t>
  </si>
  <si>
    <t>Pereira Ávila</t>
  </si>
  <si>
    <t>Danna Nicol</t>
  </si>
  <si>
    <t>Caldera González</t>
  </si>
  <si>
    <t>Aurimar Fernanda</t>
  </si>
  <si>
    <t xml:space="preserve"> Lizarazo Silva</t>
  </si>
  <si>
    <t>Daniel Steven</t>
  </si>
  <si>
    <t>Garzón Quintana</t>
  </si>
  <si>
    <t xml:space="preserve">Melany Sofia </t>
  </si>
  <si>
    <t xml:space="preserve"> Casas Montenegro</t>
  </si>
  <si>
    <t>Karol Dayan</t>
  </si>
  <si>
    <t>Chisco Rodríguez</t>
  </si>
  <si>
    <t>Sara Sofia</t>
  </si>
  <si>
    <t>Montaño Milkes</t>
  </si>
  <si>
    <t xml:space="preserve">Danna Michelle </t>
  </si>
  <si>
    <t>Madrid Meyer</t>
  </si>
  <si>
    <t>Luis Santiago</t>
  </si>
  <si>
    <t>Luis Santiago Huguez Zumaque</t>
  </si>
  <si>
    <t>Huguez Zumaque</t>
  </si>
  <si>
    <t>Miguel Ángel</t>
  </si>
  <si>
    <t>Romero Alonso</t>
  </si>
  <si>
    <t>Ballesteros Pachón</t>
  </si>
  <si>
    <t>Hernández Torres</t>
  </si>
  <si>
    <t xml:space="preserve">Katherine Vanessa </t>
  </si>
  <si>
    <t xml:space="preserve"> Díaz Diaz</t>
  </si>
  <si>
    <t>Esteban Alejandro</t>
  </si>
  <si>
    <t xml:space="preserve"> Suárez Barros</t>
  </si>
  <si>
    <t>Nombre</t>
  </si>
  <si>
    <t>Correo_Acudiente</t>
  </si>
  <si>
    <t>ID_Drive</t>
  </si>
  <si>
    <t>No. de documento de identidad</t>
  </si>
  <si>
    <t>Tipo de documento</t>
  </si>
  <si>
    <t>Cambiar los atributos de la carpeta</t>
  </si>
  <si>
    <t>Link mal compartido</t>
  </si>
  <si>
    <t>Carpeta mal creada</t>
  </si>
  <si>
    <t>Necesito los permisos</t>
  </si>
  <si>
    <t>Gelatipop</t>
  </si>
  <si>
    <t>Dulce Ilusión</t>
  </si>
  <si>
    <t>La Neverita</t>
  </si>
  <si>
    <t>Neurovolt System</t>
  </si>
  <si>
    <t>Detallitos Mágicos</t>
  </si>
  <si>
    <t xml:space="preserve">Mini Postres </t>
  </si>
  <si>
    <t>Fuego Dulce</t>
  </si>
  <si>
    <t xml:space="preserve">Delicias de Amor </t>
  </si>
  <si>
    <t>Budusitos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</si>
</sst>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7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Roboto"/>
    </font>
    <font>
      <sz val="10"/>
      <name val="Roboto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name val="Calibri"/>
      <family val="2"/>
      <scheme val="minor"/>
    </font>
    <font>
      <sz val="10"/>
      <color rgb="FF1F1F1F"/>
      <name val="&quot;Google Sans&quot;"/>
    </font>
    <font>
      <sz val="10"/>
      <color rgb="FF0000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563C1"/>
      <name val="Calibri"/>
      <family val="2"/>
    </font>
    <font>
      <u/>
      <sz val="10"/>
      <color rgb="FF0563C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</fills>
  <borders count="7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219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0" fillId="0" borderId="0" xfId="0" applyFont="1"/>
    <xf numFmtId="0" fontId="49" fillId="0" borderId="0" xfId="0" applyFont="1" applyAlignment="1">
      <alignment horizontal="center"/>
    </xf>
    <xf numFmtId="0" fontId="49" fillId="0" borderId="58" xfId="0" applyFont="1" applyBorder="1"/>
    <xf numFmtId="0" fontId="49" fillId="0" borderId="59" xfId="0" applyFont="1" applyBorder="1" applyAlignment="1">
      <alignment horizontal="center"/>
    </xf>
    <xf numFmtId="0" fontId="49" fillId="0" borderId="60" xfId="0" applyFont="1" applyBorder="1" applyAlignment="1">
      <alignment horizontal="center"/>
    </xf>
    <xf numFmtId="0" fontId="49" fillId="0" borderId="29" xfId="0" applyFont="1" applyBorder="1"/>
    <xf numFmtId="0" fontId="49" fillId="0" borderId="62" xfId="0" applyFont="1" applyBorder="1"/>
    <xf numFmtId="0" fontId="49" fillId="0" borderId="65" xfId="0" applyFont="1" applyBorder="1"/>
    <xf numFmtId="0" fontId="49" fillId="0" borderId="66" xfId="0" applyFont="1" applyBorder="1"/>
    <xf numFmtId="0" fontId="49" fillId="0" borderId="0" xfId="0" applyFont="1"/>
    <xf numFmtId="0" fontId="4" fillId="3" borderId="57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5" xfId="0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/>
    </xf>
    <xf numFmtId="0" fontId="9" fillId="2" borderId="55" xfId="0" applyFont="1" applyFill="1" applyBorder="1"/>
    <xf numFmtId="14" fontId="9" fillId="2" borderId="55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57" fillId="16" borderId="67" xfId="0" applyFont="1" applyFill="1" applyBorder="1" applyAlignment="1">
      <alignment vertical="center" wrapText="1"/>
    </xf>
    <xf numFmtId="0" fontId="27" fillId="0" borderId="67" xfId="0" applyFont="1" applyBorder="1" applyAlignment="1">
      <alignment horizontal="center" vertical="center"/>
    </xf>
    <xf numFmtId="0" fontId="57" fillId="17" borderId="67" xfId="0" applyFont="1" applyFill="1" applyBorder="1" applyAlignment="1">
      <alignment vertical="center" wrapText="1"/>
    </xf>
    <xf numFmtId="0" fontId="58" fillId="16" borderId="67" xfId="0" applyFont="1" applyFill="1" applyBorder="1" applyAlignment="1">
      <alignment horizontal="right" vertical="center" wrapText="1"/>
    </xf>
    <xf numFmtId="0" fontId="58" fillId="17" borderId="67" xfId="0" applyFont="1" applyFill="1" applyBorder="1" applyAlignment="1">
      <alignment horizontal="right" vertical="center" wrapText="1"/>
    </xf>
    <xf numFmtId="0" fontId="58" fillId="16" borderId="67" xfId="0" applyFont="1" applyFill="1" applyBorder="1" applyAlignment="1">
      <alignment horizontal="left" vertical="center" wrapText="1"/>
    </xf>
    <xf numFmtId="0" fontId="58" fillId="17" borderId="67" xfId="0" applyFont="1" applyFill="1" applyBorder="1" applyAlignment="1">
      <alignment horizontal="left" vertical="center" wrapText="1"/>
    </xf>
    <xf numFmtId="0" fontId="27" fillId="0" borderId="55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57" fillId="16" borderId="70" xfId="0" applyFont="1" applyFill="1" applyBorder="1" applyAlignment="1">
      <alignment vertical="center" wrapText="1"/>
    </xf>
    <xf numFmtId="0" fontId="58" fillId="16" borderId="70" xfId="0" applyFont="1" applyFill="1" applyBorder="1" applyAlignment="1">
      <alignment horizontal="right" vertical="center" wrapText="1"/>
    </xf>
    <xf numFmtId="0" fontId="58" fillId="16" borderId="70" xfId="0" applyFont="1" applyFill="1" applyBorder="1" applyAlignment="1">
      <alignment horizontal="left" vertical="center" wrapText="1"/>
    </xf>
    <xf numFmtId="0" fontId="27" fillId="0" borderId="15" xfId="0" applyFont="1" applyBorder="1" applyAlignment="1">
      <alignment horizontal="center" vertical="center"/>
    </xf>
    <xf numFmtId="0" fontId="57" fillId="17" borderId="73" xfId="0" applyFont="1" applyFill="1" applyBorder="1" applyAlignment="1">
      <alignment vertical="center" wrapText="1"/>
    </xf>
    <xf numFmtId="0" fontId="58" fillId="17" borderId="73" xfId="0" applyFont="1" applyFill="1" applyBorder="1" applyAlignment="1">
      <alignment horizontal="right" vertical="center" wrapText="1"/>
    </xf>
    <xf numFmtId="0" fontId="58" fillId="17" borderId="73" xfId="0" applyFont="1" applyFill="1" applyBorder="1" applyAlignment="1">
      <alignment horizontal="left" vertical="center" wrapText="1"/>
    </xf>
    <xf numFmtId="0" fontId="59" fillId="0" borderId="68" xfId="0" applyFont="1" applyBorder="1" applyAlignment="1">
      <alignment horizontal="center" vertical="center"/>
    </xf>
    <xf numFmtId="0" fontId="60" fillId="0" borderId="69" xfId="0" applyFont="1" applyBorder="1" applyAlignment="1">
      <alignment vertical="center"/>
    </xf>
    <xf numFmtId="0" fontId="61" fillId="16" borderId="67" xfId="1" applyFont="1" applyFill="1" applyBorder="1" applyAlignment="1">
      <alignment horizontal="left" vertical="center" wrapText="1"/>
    </xf>
    <xf numFmtId="0" fontId="61" fillId="17" borderId="67" xfId="1" applyFont="1" applyFill="1" applyBorder="1" applyAlignment="1">
      <alignment horizontal="left" vertical="center" wrapText="1"/>
    </xf>
    <xf numFmtId="0" fontId="62" fillId="14" borderId="69" xfId="0" applyFont="1" applyFill="1" applyBorder="1" applyAlignment="1">
      <alignment horizontal="center" vertical="center"/>
    </xf>
    <xf numFmtId="0" fontId="59" fillId="0" borderId="71" xfId="0" applyFont="1" applyBorder="1" applyAlignment="1">
      <alignment horizontal="center" vertical="center"/>
    </xf>
    <xf numFmtId="0" fontId="60" fillId="0" borderId="72" xfId="0" applyFont="1" applyBorder="1" applyAlignment="1">
      <alignment vertical="center"/>
    </xf>
    <xf numFmtId="0" fontId="61" fillId="16" borderId="70" xfId="1" applyFont="1" applyFill="1" applyBorder="1" applyAlignment="1">
      <alignment horizontal="left" vertical="center" wrapText="1"/>
    </xf>
    <xf numFmtId="0" fontId="63" fillId="0" borderId="67" xfId="0" applyFont="1" applyBorder="1"/>
    <xf numFmtId="0" fontId="59" fillId="0" borderId="67" xfId="0" applyFont="1" applyBorder="1" applyAlignment="1">
      <alignment horizontal="center" vertical="center"/>
    </xf>
    <xf numFmtId="0" fontId="64" fillId="0" borderId="67" xfId="1" applyFont="1" applyBorder="1"/>
    <xf numFmtId="0" fontId="64" fillId="0" borderId="67" xfId="1" applyFont="1" applyBorder="1" applyAlignment="1">
      <alignment horizontal="right"/>
    </xf>
    <xf numFmtId="0" fontId="59" fillId="0" borderId="74" xfId="0" applyFont="1" applyBorder="1" applyAlignment="1">
      <alignment horizontal="center" vertical="center"/>
    </xf>
    <xf numFmtId="0" fontId="60" fillId="0" borderId="75" xfId="0" applyFont="1" applyBorder="1" applyAlignment="1">
      <alignment vertical="center"/>
    </xf>
    <xf numFmtId="0" fontId="61" fillId="17" borderId="73" xfId="1" applyFont="1" applyFill="1" applyBorder="1" applyAlignment="1">
      <alignment horizontal="left" vertical="center" wrapText="1"/>
    </xf>
    <xf numFmtId="0" fontId="65" fillId="0" borderId="69" xfId="0" applyFont="1" applyBorder="1" applyAlignment="1">
      <alignment vertical="center"/>
    </xf>
    <xf numFmtId="0" fontId="66" fillId="0" borderId="69" xfId="0" applyFont="1" applyBorder="1" applyAlignment="1">
      <alignment vertical="center"/>
    </xf>
    <xf numFmtId="0" fontId="56" fillId="16" borderId="68" xfId="1" applyFill="1" applyBorder="1" applyAlignment="1">
      <alignment vertical="center" wrapText="1"/>
    </xf>
    <xf numFmtId="0" fontId="56" fillId="0" borderId="62" xfId="1" applyBorder="1"/>
    <xf numFmtId="0" fontId="56" fillId="17" borderId="68" xfId="1" applyFill="1" applyBorder="1" applyAlignment="1">
      <alignment vertical="center" wrapText="1"/>
    </xf>
    <xf numFmtId="0" fontId="56" fillId="16" borderId="71" xfId="1" applyFill="1" applyBorder="1" applyAlignment="1">
      <alignment vertical="center" wrapText="1"/>
    </xf>
    <xf numFmtId="0" fontId="56" fillId="0" borderId="67" xfId="1" applyBorder="1"/>
    <xf numFmtId="0" fontId="56" fillId="17" borderId="74" xfId="1" applyFill="1" applyBorder="1" applyAlignment="1">
      <alignment vertical="center" wrapText="1"/>
    </xf>
    <xf numFmtId="0" fontId="56" fillId="0" borderId="66" xfId="1" applyBorder="1"/>
    <xf numFmtId="0" fontId="56" fillId="16" borderId="67" xfId="1" applyFill="1" applyBorder="1" applyAlignment="1">
      <alignment horizontal="left" vertical="center" wrapText="1"/>
    </xf>
    <xf numFmtId="0" fontId="56" fillId="17" borderId="67" xfId="1" applyFill="1" applyBorder="1" applyAlignment="1">
      <alignment horizontal="left" vertical="center" wrapText="1"/>
    </xf>
    <xf numFmtId="0" fontId="56" fillId="16" borderId="67" xfId="1" applyFill="1" applyBorder="1" applyAlignment="1">
      <alignment horizontal="right" vertical="center" wrapText="1"/>
    </xf>
    <xf numFmtId="0" fontId="27" fillId="18" borderId="29" xfId="0" applyFont="1" applyFill="1" applyBorder="1" applyAlignment="1">
      <alignment horizontal="center" vertical="center"/>
    </xf>
    <xf numFmtId="0" fontId="27" fillId="18" borderId="41" xfId="0" applyFont="1" applyFill="1" applyBorder="1" applyAlignment="1">
      <alignment horizontal="center"/>
    </xf>
    <xf numFmtId="0" fontId="27" fillId="18" borderId="41" xfId="0" applyFont="1" applyFill="1" applyBorder="1" applyAlignment="1">
      <alignment horizontal="right"/>
    </xf>
    <xf numFmtId="0" fontId="27" fillId="18" borderId="29" xfId="0" applyFont="1" applyFill="1" applyBorder="1"/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6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5" xfId="0" applyFont="1" applyFill="1" applyBorder="1" applyAlignment="1">
      <alignment horizontal="center"/>
    </xf>
    <xf numFmtId="0" fontId="2" fillId="0" borderId="55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2" fillId="0" borderId="52" xfId="0" applyFont="1" applyBorder="1" applyAlignment="1"/>
    <xf numFmtId="0" fontId="2" fillId="0" borderId="53" xfId="0" applyFont="1" applyBorder="1" applyAlignment="1"/>
    <xf numFmtId="0" fontId="22" fillId="0" borderId="54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1" xfId="0" applyFont="1" applyFill="1" applyBorder="1" applyAlignment="1">
      <alignment horizontal="center" vertical="center"/>
    </xf>
    <xf numFmtId="0" fontId="36" fillId="3" borderId="51" xfId="0" applyFont="1" applyFill="1" applyBorder="1" applyAlignment="1">
      <alignment horizontal="center" vertical="center"/>
    </xf>
    <xf numFmtId="0" fontId="34" fillId="3" borderId="51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1" xfId="0" applyFont="1" applyFill="1" applyBorder="1" applyAlignment="1">
      <alignment horizontal="center" vertical="center"/>
    </xf>
    <xf numFmtId="0" fontId="32" fillId="3" borderId="51" xfId="0" applyFont="1" applyFill="1" applyBorder="1" applyAlignment="1">
      <alignment horizontal="center" vertical="center"/>
    </xf>
    <xf numFmtId="0" fontId="33" fillId="3" borderId="5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1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56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5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9" fillId="0" borderId="61" xfId="0" applyFont="1" applyBorder="1" applyAlignment="1">
      <alignment horizontal="center" vertical="center" wrapText="1"/>
    </xf>
    <xf numFmtId="0" fontId="2" fillId="0" borderId="63" xfId="0" applyFont="1" applyBorder="1" applyAlignment="1"/>
    <xf numFmtId="0" fontId="2" fillId="0" borderId="64" xfId="0" applyFont="1" applyBorder="1" applyAlignment="1"/>
    <xf numFmtId="0" fontId="51" fillId="15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85"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.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8TLciYKkSo1OTwm7NBX201-7hG45q1J6" TargetMode="External"/><Relationship Id="rId21" Type="http://schemas.openxmlformats.org/officeDocument/2006/relationships/hyperlink" Target="https://drive.google.com/drive/folders/1dR8iXzQxHa4WkxNt95rhibGMS3s46iGE" TargetMode="External"/><Relationship Id="rId42" Type="http://schemas.openxmlformats.org/officeDocument/2006/relationships/hyperlink" Target="mailto:fernandoescalanteparada@gmail.com" TargetMode="External"/><Relationship Id="rId47" Type="http://schemas.openxmlformats.org/officeDocument/2006/relationships/hyperlink" Target="mailto:sammyurresty@gmail.com" TargetMode="External"/><Relationship Id="rId63" Type="http://schemas.openxmlformats.org/officeDocument/2006/relationships/hyperlink" Target="mailto:dannacaldera2009@gmail.com" TargetMode="External"/><Relationship Id="rId68" Type="http://schemas.openxmlformats.org/officeDocument/2006/relationships/hyperlink" Target="mailto:montanomilkessarasofia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https://drive.google.com/drive/folders/1GQVi_mPO5llBvVv6s_tdNpdoOpCjeBrx" TargetMode="External"/><Relationship Id="rId29" Type="http://schemas.openxmlformats.org/officeDocument/2006/relationships/hyperlink" Target="https://drive.google.com/drive/folders/1lsC7Afk7IGSt7olWJHSpo5hz36VjaFm_" TargetMode="External"/><Relationship Id="rId11" Type="http://schemas.openxmlformats.org/officeDocument/2006/relationships/hyperlink" Target="https://drive.google.com/drive/folders/1s--tHfSvvLH6SC9hV9JuPqNGB9DX8uBA?usp=drive_link" TargetMode="External"/><Relationship Id="rId24" Type="http://schemas.openxmlformats.org/officeDocument/2006/relationships/hyperlink" Target="https://drive.google.com/drive/folders/1WCDWrCBb4a2Apu_WnRpF1DSb0iuQ5O01" TargetMode="External"/><Relationship Id="rId32" Type="http://schemas.openxmlformats.org/officeDocument/2006/relationships/hyperlink" Target="https://drive.google.com/drive/folders/1IKAiPSXT47lBcCKKbDtBiQMIKjcelag7" TargetMode="External"/><Relationship Id="rId37" Type="http://schemas.openxmlformats.org/officeDocument/2006/relationships/hyperlink" Target="mailto:carlosenriquebastidas3@gmail.com" TargetMode="External"/><Relationship Id="rId40" Type="http://schemas.openxmlformats.org/officeDocument/2006/relationships/hyperlink" Target="mailto:aslyacostab3064@gmail.com" TargetMode="External"/><Relationship Id="rId45" Type="http://schemas.openxmlformats.org/officeDocument/2006/relationships/hyperlink" Target="mailto:sarita.preciosa16@gmail.com" TargetMode="External"/><Relationship Id="rId53" Type="http://schemas.openxmlformats.org/officeDocument/2006/relationships/hyperlink" Target="mailto:danita1802julian@gmail.com" TargetMode="External"/><Relationship Id="rId58" Type="http://schemas.openxmlformats.org/officeDocument/2006/relationships/hyperlink" Target="mailto:lauratatianacardonaa11@gmail.com" TargetMode="External"/><Relationship Id="rId66" Type="http://schemas.openxmlformats.org/officeDocument/2006/relationships/hyperlink" Target="mailto:melanysofia2110@gmail.com" TargetMode="External"/><Relationship Id="rId74" Type="http://schemas.openxmlformats.org/officeDocument/2006/relationships/hyperlink" Target="mailto:andresfelipecastillosolis2@gmail.com" TargetMode="External"/><Relationship Id="rId5" Type="http://schemas.openxmlformats.org/officeDocument/2006/relationships/hyperlink" Target="https://drive.google.com/drive/folders/1UvEXLeYYChGMB6wUiNVb17_btPVcK_nK" TargetMode="External"/><Relationship Id="rId61" Type="http://schemas.openxmlformats.org/officeDocument/2006/relationships/hyperlink" Target="mailto:pereiramaikelys2@gmail.com" TargetMode="External"/><Relationship Id="rId19" Type="http://schemas.openxmlformats.org/officeDocument/2006/relationships/hyperlink" Target="https://drive.google.com/drive/folders/1C8HeAGLX1McdZIr7YsLpiodTptydJEXk" TargetMode="External"/><Relationship Id="rId14" Type="http://schemas.openxmlformats.org/officeDocument/2006/relationships/hyperlink" Target="https://drive.google.com/drive/folders/18Npecw-xZw9YScJkGObLUHvv8POyZu7t" TargetMode="External"/><Relationship Id="rId22" Type="http://schemas.openxmlformats.org/officeDocument/2006/relationships/hyperlink" Target="https://drive.google.com/drive/folders/1M5_Y7n-489oacnosZEqHHvfnPrlhZ1hD" TargetMode="External"/><Relationship Id="rId27" Type="http://schemas.openxmlformats.org/officeDocument/2006/relationships/hyperlink" Target="https://drive.google.com/drive/folders/1vpra726GkuCaTT2D43wEPkTcSJYXiiVJ" TargetMode="External"/><Relationship Id="rId30" Type="http://schemas.openxmlformats.org/officeDocument/2006/relationships/hyperlink" Target="https://drive.google.com/drive/folders/11WynICGIxVqWDDkw0VWrftkHXDDXzU1F" TargetMode="External"/><Relationship Id="rId35" Type="http://schemas.openxmlformats.org/officeDocument/2006/relationships/hyperlink" Target="https://drive.google.com/drive/folders/1AAb6J6JvxmD-6BivqazwhUMx7WWvKnSV" TargetMode="External"/><Relationship Id="rId43" Type="http://schemas.openxmlformats.org/officeDocument/2006/relationships/hyperlink" Target="mailto:jm5935279@gmail.com" TargetMode="External"/><Relationship Id="rId48" Type="http://schemas.openxmlformats.org/officeDocument/2006/relationships/hyperlink" Target="mailto:dannitaalvarez470@gmail.com" TargetMode="External"/><Relationship Id="rId56" Type="http://schemas.openxmlformats.org/officeDocument/2006/relationships/hyperlink" Target="mailto:gilcamila453@gmail.com" TargetMode="External"/><Relationship Id="rId64" Type="http://schemas.openxmlformats.org/officeDocument/2006/relationships/hyperlink" Target="mailto:aurimarlizarazo9650@gmail.com" TargetMode="External"/><Relationship Id="rId69" Type="http://schemas.openxmlformats.org/officeDocument/2006/relationships/hyperlink" Target="mailto:dannaflorez0204@gmail.com" TargetMode="External"/><Relationship Id="rId8" Type="http://schemas.openxmlformats.org/officeDocument/2006/relationships/hyperlink" Target="https://drive.google.com/drive/folders/11fCpbDqZrckNA-nS8W_1nvZ6jEsjzkfR" TargetMode="External"/><Relationship Id="rId51" Type="http://schemas.openxmlformats.org/officeDocument/2006/relationships/hyperlink" Target="mailto:miguelzorroa12@gmail.com" TargetMode="External"/><Relationship Id="rId72" Type="http://schemas.openxmlformats.org/officeDocument/2006/relationships/hyperlink" Target="mailto:vanes.13sol@gmail.com" TargetMode="External"/><Relationship Id="rId3" Type="http://schemas.openxmlformats.org/officeDocument/2006/relationships/hyperlink" Target="https://drive.google.com/drive/folders/1k3NdOgymyRD0WdxNCSOsMksBK8FbDsGs" TargetMode="External"/><Relationship Id="rId12" Type="http://schemas.openxmlformats.org/officeDocument/2006/relationships/hyperlink" Target="https://drive.google.com/drive/folders/1vEGGZNXAPh4O-lmD48j-8_y_IsG8aCDN" TargetMode="External"/><Relationship Id="rId17" Type="http://schemas.openxmlformats.org/officeDocument/2006/relationships/hyperlink" Target="https://drive.google.com/drive/folders/1tZj3sBPTy6gq7MM9rjZGyslwPa6jFLvR" TargetMode="External"/><Relationship Id="rId25" Type="http://schemas.openxmlformats.org/officeDocument/2006/relationships/hyperlink" Target="https://drive.google.com/drive/folders/1Phau3X0Gve2jV_0ZG0dkB2GJ7VWR_UJl" TargetMode="External"/><Relationship Id="rId33" Type="http://schemas.openxmlformats.org/officeDocument/2006/relationships/hyperlink" Target="https://drive.google.com/drive/folders/1uShBbKq8EPJGyeuo9fnfp6y7cWT9KUgV?usp=drive_link" TargetMode="External"/><Relationship Id="rId38" Type="http://schemas.openxmlformats.org/officeDocument/2006/relationships/hyperlink" Target="mailto:carlosbastidas014@gmail.com" TargetMode="External"/><Relationship Id="rId46" Type="http://schemas.openxmlformats.org/officeDocument/2006/relationships/hyperlink" Target="mailto:immortalxdxrb1@gmail.com" TargetMode="External"/><Relationship Id="rId59" Type="http://schemas.openxmlformats.org/officeDocument/2006/relationships/hyperlink" Target="mailto:outtmaia@gmail.com" TargetMode="External"/><Relationship Id="rId67" Type="http://schemas.openxmlformats.org/officeDocument/2006/relationships/hyperlink" Target="mailto:karolchisco821@gmail.com" TargetMode="External"/><Relationship Id="rId20" Type="http://schemas.openxmlformats.org/officeDocument/2006/relationships/hyperlink" Target="https://drive.google.com/drive/folders/1zAFSxXV8knFWdt3SnSSbp3g6XBrAslaY" TargetMode="External"/><Relationship Id="rId41" Type="http://schemas.openxmlformats.org/officeDocument/2006/relationships/hyperlink" Target="mailto:dayana95.cf@gmail.com" TargetMode="External"/><Relationship Id="rId54" Type="http://schemas.openxmlformats.org/officeDocument/2006/relationships/hyperlink" Target="mailto:angienballesteros@gmail.com" TargetMode="External"/><Relationship Id="rId62" Type="http://schemas.openxmlformats.org/officeDocument/2006/relationships/hyperlink" Target="mailto:marthaliliana460@gmail.com" TargetMode="External"/><Relationship Id="rId70" Type="http://schemas.openxmlformats.org/officeDocument/2006/relationships/hyperlink" Target="mailto:luissantiagohuguezzumaque@gmail.com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https://drive.google.com/drive/folders/1ImJha9CH-EHy1ofiF9yPTxDOCP0dvgHx?usp=drive_link" TargetMode="External"/><Relationship Id="rId15" Type="http://schemas.openxmlformats.org/officeDocument/2006/relationships/hyperlink" Target="https://drive.google.com/drive/folders/1ZxKJbYXB_xqCk1vUXOMyqimmjvIZ5D4B" TargetMode="External"/><Relationship Id="rId23" Type="http://schemas.openxmlformats.org/officeDocument/2006/relationships/hyperlink" Target="https://drive.google.com/drive/folders/1-f407YMyOQfzWLQ42gluQamUSmVkOooY" TargetMode="External"/><Relationship Id="rId28" Type="http://schemas.openxmlformats.org/officeDocument/2006/relationships/hyperlink" Target="https://drive.google.com/drive/folders/1zJH3jR-aa6aAEPY_A-bY9SkIQsGPBAgg" TargetMode="External"/><Relationship Id="rId36" Type="http://schemas.openxmlformats.org/officeDocument/2006/relationships/hyperlink" Target="https://drive.google.com/drive/folders/1oJ5hKe5clA5o7FrjDAFIEt_lZoIpZanH" TargetMode="External"/><Relationship Id="rId49" Type="http://schemas.openxmlformats.org/officeDocument/2006/relationships/hyperlink" Target="mailto:leonmoscososamantha609@gmail.com" TargetMode="External"/><Relationship Id="rId57" Type="http://schemas.openxmlformats.org/officeDocument/2006/relationships/hyperlink" Target="mailto:artevalelozano2806@gmail.com" TargetMode="External"/><Relationship Id="rId10" Type="http://schemas.openxmlformats.org/officeDocument/2006/relationships/hyperlink" Target="https://drive.google.com/drive/folders/1sfBPu54s025TQAhE0zRg3KzCs46chjK6" TargetMode="External"/><Relationship Id="rId31" Type="http://schemas.openxmlformats.org/officeDocument/2006/relationships/hyperlink" Target="https://drive.google.com/drive/folders/1aA8ur4sEytm3j8taBlD4_PJj2yqe2s3i" TargetMode="External"/><Relationship Id="rId44" Type="http://schemas.openxmlformats.org/officeDocument/2006/relationships/hyperlink" Target="mailto:deivy0375@gmail.com" TargetMode="External"/><Relationship Id="rId52" Type="http://schemas.openxmlformats.org/officeDocument/2006/relationships/hyperlink" Target="mailto:andresurielarevalo@gmail.com" TargetMode="External"/><Relationship Id="rId60" Type="http://schemas.openxmlformats.org/officeDocument/2006/relationships/hyperlink" Target="mailto:sofia.hernandez2010.24@gmail.com" TargetMode="External"/><Relationship Id="rId65" Type="http://schemas.openxmlformats.org/officeDocument/2006/relationships/hyperlink" Target="mailto:danielgarzon847@gmail.com" TargetMode="External"/><Relationship Id="rId73" Type="http://schemas.openxmlformats.org/officeDocument/2006/relationships/hyperlink" Target="mailto:esteban.suarez.24v2026@gmail.com" TargetMode="External"/><Relationship Id="rId4" Type="http://schemas.openxmlformats.org/officeDocument/2006/relationships/hyperlink" Target="https://drive.google.com/drive/folders/1TOwd03Mcw7xduy5_X75rjApzwIr2mUry" TargetMode="External"/><Relationship Id="rId9" Type="http://schemas.openxmlformats.org/officeDocument/2006/relationships/hyperlink" Target="https://drive.google.com/drive/folders/1yH8FKIqvFwYUg59CBiKkCyPZ_YNcePX_" TargetMode="External"/><Relationship Id="rId13" Type="http://schemas.openxmlformats.org/officeDocument/2006/relationships/hyperlink" Target="https://drive.google.com/drive/folders/1H3a1x414QstuqQ7TBrMQ_cgkCDOB0v3m" TargetMode="External"/><Relationship Id="rId18" Type="http://schemas.openxmlformats.org/officeDocument/2006/relationships/hyperlink" Target="https://drive.google.com/drive/folders/1mvZrxhN4eazpzM6jlHrR3dzy_7p3Pgc8?usp=drive_link" TargetMode="External"/><Relationship Id="rId39" Type="http://schemas.openxmlformats.org/officeDocument/2006/relationships/hyperlink" Target="https://drive.google.com/drive/folders/1H4Azke62jZddJxJKPQBP9pH6eXxkOnRs?usp=drive_link" TargetMode="External"/><Relationship Id="rId34" Type="http://schemas.openxmlformats.org/officeDocument/2006/relationships/hyperlink" Target="https://drive.google.com/drive/u/0/mobile/folders/1PFx0r8B6FSXYvtfrNI1tKCByEeETclPb/1-KN7EBSSYio-cPYXqdWS3GBpOlsVYYBM/1oV4lT9d79o2zlJEIAnOmocdD6sRGU2oM?pli=1&amp;sort=13&amp;direction=a" TargetMode="External"/><Relationship Id="rId50" Type="http://schemas.openxmlformats.org/officeDocument/2006/relationships/hyperlink" Target="mailto:quinteroramirezalejandro8@gmail.com" TargetMode="External"/><Relationship Id="rId55" Type="http://schemas.openxmlformats.org/officeDocument/2006/relationships/hyperlink" Target="mailto:katherinsuarez160@gmail.com" TargetMode="External"/><Relationship Id="rId76" Type="http://schemas.openxmlformats.org/officeDocument/2006/relationships/table" Target="../tables/table1.xml"/><Relationship Id="rId7" Type="http://schemas.openxmlformats.org/officeDocument/2006/relationships/hyperlink" Target="https://drive.google.com/drive/folders/1AEryG8p5h8NFUswTLvjVZTCcxIqtkmpN?usp=drive_link" TargetMode="External"/><Relationship Id="rId71" Type="http://schemas.openxmlformats.org/officeDocument/2006/relationships/hyperlink" Target="mailto:migueluzui7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gienballesteros@gmail.com" TargetMode="External"/><Relationship Id="rId18" Type="http://schemas.openxmlformats.org/officeDocument/2006/relationships/hyperlink" Target="mailto:lauratatianacardonaa11@gmail.com" TargetMode="External"/><Relationship Id="rId26" Type="http://schemas.openxmlformats.org/officeDocument/2006/relationships/hyperlink" Target="mailto:karolchisco821@gmail.com" TargetMode="External"/><Relationship Id="rId3" Type="http://schemas.openxmlformats.org/officeDocument/2006/relationships/hyperlink" Target="mailto:fernandoescalanteparada@gmail.com" TargetMode="External"/><Relationship Id="rId21" Type="http://schemas.openxmlformats.org/officeDocument/2006/relationships/hyperlink" Target="mailto:pereiramaikelys2@gmail.com" TargetMode="External"/><Relationship Id="rId34" Type="http://schemas.openxmlformats.org/officeDocument/2006/relationships/hyperlink" Target="mailto:sammyurresty@gmail.com" TargetMode="External"/><Relationship Id="rId7" Type="http://schemas.openxmlformats.org/officeDocument/2006/relationships/hyperlink" Target="mailto:dannitaalvarez470@gmail.com" TargetMode="External"/><Relationship Id="rId12" Type="http://schemas.openxmlformats.org/officeDocument/2006/relationships/hyperlink" Target="mailto:danita1802julian@gmail.com" TargetMode="External"/><Relationship Id="rId17" Type="http://schemas.openxmlformats.org/officeDocument/2006/relationships/hyperlink" Target="mailto:artevalelozano2806@gmail.com" TargetMode="External"/><Relationship Id="rId25" Type="http://schemas.openxmlformats.org/officeDocument/2006/relationships/hyperlink" Target="mailto:melanysofia2110@gmail.com" TargetMode="External"/><Relationship Id="rId33" Type="http://schemas.openxmlformats.org/officeDocument/2006/relationships/hyperlink" Target="mailto:immortalxdxrb1@gmail.com" TargetMode="External"/><Relationship Id="rId2" Type="http://schemas.openxmlformats.org/officeDocument/2006/relationships/hyperlink" Target="mailto:dayana95.cf@gmail.com" TargetMode="External"/><Relationship Id="rId16" Type="http://schemas.openxmlformats.org/officeDocument/2006/relationships/hyperlink" Target="mailto:gilcamila453@gmail.com" TargetMode="External"/><Relationship Id="rId20" Type="http://schemas.openxmlformats.org/officeDocument/2006/relationships/hyperlink" Target="mailto:sofia.hernandez2010.24@gmail.com" TargetMode="External"/><Relationship Id="rId29" Type="http://schemas.openxmlformats.org/officeDocument/2006/relationships/hyperlink" Target="mailto:luissantiagohuguezzumaque@gmail.com" TargetMode="External"/><Relationship Id="rId1" Type="http://schemas.openxmlformats.org/officeDocument/2006/relationships/hyperlink" Target="mailto:aslyacostab3064@gmail.com" TargetMode="External"/><Relationship Id="rId6" Type="http://schemas.openxmlformats.org/officeDocument/2006/relationships/hyperlink" Target="mailto:sarita.preciosa16@gmail.com" TargetMode="External"/><Relationship Id="rId11" Type="http://schemas.openxmlformats.org/officeDocument/2006/relationships/hyperlink" Target="mailto:andresurielarevalo@gmail.com" TargetMode="External"/><Relationship Id="rId24" Type="http://schemas.openxmlformats.org/officeDocument/2006/relationships/hyperlink" Target="mailto:danielgarzon847@gmail.com" TargetMode="External"/><Relationship Id="rId32" Type="http://schemas.openxmlformats.org/officeDocument/2006/relationships/hyperlink" Target="mailto:esteban.suarez.24v2026@gmail.com" TargetMode="External"/><Relationship Id="rId5" Type="http://schemas.openxmlformats.org/officeDocument/2006/relationships/hyperlink" Target="mailto:deivy0375@gmail.com" TargetMode="External"/><Relationship Id="rId15" Type="http://schemas.openxmlformats.org/officeDocument/2006/relationships/hyperlink" Target="mailto:carlosenriquebastidas3@gmail.com" TargetMode="External"/><Relationship Id="rId23" Type="http://schemas.openxmlformats.org/officeDocument/2006/relationships/hyperlink" Target="mailto:aurimarlizarazo9650@gmail.com" TargetMode="External"/><Relationship Id="rId28" Type="http://schemas.openxmlformats.org/officeDocument/2006/relationships/hyperlink" Target="mailto:dannaflorez0204@gmail.com" TargetMode="External"/><Relationship Id="rId10" Type="http://schemas.openxmlformats.org/officeDocument/2006/relationships/hyperlink" Target="mailto:miguelzorroa12@gmail.com%7D" TargetMode="External"/><Relationship Id="rId19" Type="http://schemas.openxmlformats.org/officeDocument/2006/relationships/hyperlink" Target="mailto:outtmaia@gmail.com" TargetMode="External"/><Relationship Id="rId31" Type="http://schemas.openxmlformats.org/officeDocument/2006/relationships/hyperlink" Target="mailto:vanes.13sol@gmail.com" TargetMode="External"/><Relationship Id="rId4" Type="http://schemas.openxmlformats.org/officeDocument/2006/relationships/hyperlink" Target="mailto:jm5935279@gmail.com" TargetMode="External"/><Relationship Id="rId9" Type="http://schemas.openxmlformats.org/officeDocument/2006/relationships/hyperlink" Target="mailto:quinteroramirezalejandro8@gmail.com" TargetMode="External"/><Relationship Id="rId14" Type="http://schemas.openxmlformats.org/officeDocument/2006/relationships/hyperlink" Target="mailto:katherinsuarez160@gmail.com" TargetMode="External"/><Relationship Id="rId22" Type="http://schemas.openxmlformats.org/officeDocument/2006/relationships/hyperlink" Target="mailto:dannacaldera2009@gmail.com" TargetMode="External"/><Relationship Id="rId27" Type="http://schemas.openxmlformats.org/officeDocument/2006/relationships/hyperlink" Target="mailto:montanomilkessarasofia@gmail.com" TargetMode="External"/><Relationship Id="rId30" Type="http://schemas.openxmlformats.org/officeDocument/2006/relationships/hyperlink" Target="mailto:migueluzui71@gmail.com" TargetMode="External"/><Relationship Id="rId8" Type="http://schemas.openxmlformats.org/officeDocument/2006/relationships/hyperlink" Target="mailto:leonmoscososamantha60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abSelected="1" topLeftCell="B7" workbookViewId="0">
      <selection activeCell="B12" sqref="A12:XFD12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98"/>
      <c r="B1" s="199"/>
      <c r="C1" s="202" t="s">
        <v>0</v>
      </c>
      <c r="D1" s="148"/>
      <c r="E1" s="148"/>
      <c r="F1" s="199"/>
      <c r="G1" s="178" t="s">
        <v>1</v>
      </c>
      <c r="H1" s="132"/>
      <c r="I1" s="132"/>
      <c r="J1" s="132"/>
      <c r="K1" s="132"/>
      <c r="L1" s="132"/>
      <c r="M1" s="132"/>
      <c r="N1" s="132"/>
      <c r="O1" s="132"/>
      <c r="P1" s="185"/>
      <c r="Q1" s="132"/>
      <c r="R1" s="132"/>
      <c r="S1" s="182"/>
      <c r="T1" s="186"/>
      <c r="U1" s="127"/>
      <c r="V1" s="127"/>
      <c r="W1" s="127"/>
      <c r="X1" s="187"/>
      <c r="Y1" s="127"/>
      <c r="Z1" s="127"/>
      <c r="AA1" s="127"/>
      <c r="AB1" s="186"/>
      <c r="AC1" s="127"/>
      <c r="AD1" s="127"/>
      <c r="AE1" s="127"/>
      <c r="AF1" s="127"/>
      <c r="AG1" s="127"/>
      <c r="AH1" s="127"/>
      <c r="AI1" s="127"/>
      <c r="AJ1" s="127"/>
      <c r="AK1" s="130"/>
      <c r="AL1" s="126"/>
      <c r="AM1" s="127"/>
      <c r="AN1" s="127"/>
      <c r="AO1" s="127"/>
      <c r="AP1" s="127"/>
      <c r="AQ1" s="127"/>
      <c r="AR1" s="127"/>
      <c r="AS1" s="127"/>
      <c r="AT1" s="127"/>
      <c r="AU1" s="128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  <c r="BI1" s="127"/>
      <c r="BJ1" s="127"/>
      <c r="BK1" s="127"/>
      <c r="BL1" s="127"/>
      <c r="BM1" s="127"/>
      <c r="BN1" s="127"/>
      <c r="BO1" s="127"/>
      <c r="BP1" s="127"/>
      <c r="BQ1" s="127"/>
      <c r="BR1" s="127"/>
      <c r="BS1" s="127"/>
      <c r="BT1" s="127"/>
      <c r="BU1" s="127"/>
      <c r="BV1" s="129"/>
      <c r="BW1" s="127"/>
      <c r="BX1" s="127"/>
      <c r="BY1" s="127"/>
      <c r="BZ1" s="127"/>
      <c r="CA1" s="127"/>
      <c r="CB1" s="127"/>
      <c r="CC1" s="127"/>
      <c r="CD1" s="127"/>
      <c r="CE1" s="127"/>
      <c r="CF1" s="127"/>
      <c r="CG1" s="127"/>
      <c r="CH1" s="127"/>
      <c r="CI1" s="127"/>
      <c r="CJ1" s="127"/>
      <c r="CK1" s="127"/>
      <c r="CL1" s="127"/>
      <c r="CM1" s="127"/>
      <c r="CN1" s="127"/>
      <c r="CO1" s="127"/>
      <c r="CP1" s="127"/>
      <c r="CQ1" s="127"/>
      <c r="CR1" s="130"/>
      <c r="CS1" s="133" t="s">
        <v>2</v>
      </c>
      <c r="CT1" s="134"/>
      <c r="CU1" s="134"/>
      <c r="CV1" s="134"/>
      <c r="CW1" s="135"/>
      <c r="CX1" s="1"/>
      <c r="CY1" s="150" t="s">
        <v>3</v>
      </c>
      <c r="CZ1" s="137"/>
      <c r="DA1" s="137"/>
      <c r="DB1" s="137"/>
      <c r="DC1" s="137"/>
      <c r="DD1" s="137"/>
      <c r="DE1" s="137"/>
      <c r="DF1" s="137"/>
      <c r="DG1" s="137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200"/>
      <c r="B2" s="201"/>
      <c r="C2" s="200"/>
      <c r="D2" s="180"/>
      <c r="E2" s="180"/>
      <c r="F2" s="201"/>
      <c r="G2" s="178" t="s">
        <v>4</v>
      </c>
      <c r="H2" s="132"/>
      <c r="I2" s="132"/>
      <c r="J2" s="132"/>
      <c r="K2" s="132"/>
      <c r="L2" s="132"/>
      <c r="M2" s="132"/>
      <c r="N2" s="132"/>
      <c r="O2" s="132"/>
      <c r="P2" s="179"/>
      <c r="Q2" s="180"/>
      <c r="R2" s="180"/>
      <c r="S2" s="180"/>
      <c r="T2" s="142"/>
      <c r="U2" s="132"/>
      <c r="V2" s="132"/>
      <c r="W2" s="144"/>
      <c r="X2" s="146"/>
      <c r="Y2" s="132"/>
      <c r="Z2" s="132"/>
      <c r="AA2" s="132"/>
      <c r="AB2" s="188"/>
      <c r="AC2" s="132"/>
      <c r="AD2" s="132"/>
      <c r="AE2" s="132"/>
      <c r="AF2" s="132"/>
      <c r="AG2" s="132"/>
      <c r="AH2" s="132"/>
      <c r="AI2" s="132"/>
      <c r="AJ2" s="132"/>
      <c r="AK2" s="144"/>
      <c r="AL2" s="146"/>
      <c r="AM2" s="132"/>
      <c r="AN2" s="132"/>
      <c r="AO2" s="132"/>
      <c r="AP2" s="132"/>
      <c r="AQ2" s="132"/>
      <c r="AR2" s="132"/>
      <c r="AS2" s="132"/>
      <c r="AT2" s="132"/>
      <c r="AU2" s="142"/>
      <c r="AV2" s="132"/>
      <c r="AW2" s="132"/>
      <c r="AX2" s="132"/>
      <c r="AY2" s="132"/>
      <c r="AZ2" s="132"/>
      <c r="BA2" s="132"/>
      <c r="BB2" s="132"/>
      <c r="BC2" s="132"/>
      <c r="BD2" s="132"/>
      <c r="BE2" s="132"/>
      <c r="BF2" s="132"/>
      <c r="BG2" s="132"/>
      <c r="BH2" s="132"/>
      <c r="BI2" s="132"/>
      <c r="BJ2" s="132"/>
      <c r="BK2" s="132"/>
      <c r="BL2" s="132"/>
      <c r="BM2" s="132"/>
      <c r="BN2" s="132"/>
      <c r="BO2" s="132"/>
      <c r="BP2" s="132"/>
      <c r="BQ2" s="132"/>
      <c r="BR2" s="132"/>
      <c r="BS2" s="132"/>
      <c r="BT2" s="132"/>
      <c r="BU2" s="132"/>
      <c r="BV2" s="143"/>
      <c r="BW2" s="132"/>
      <c r="BX2" s="132"/>
      <c r="BY2" s="132"/>
      <c r="BZ2" s="132"/>
      <c r="CA2" s="132"/>
      <c r="CB2" s="132"/>
      <c r="CC2" s="132"/>
      <c r="CD2" s="132"/>
      <c r="CE2" s="132"/>
      <c r="CF2" s="132"/>
      <c r="CG2" s="132"/>
      <c r="CH2" s="132"/>
      <c r="CI2" s="132"/>
      <c r="CJ2" s="132"/>
      <c r="CK2" s="132"/>
      <c r="CL2" s="132"/>
      <c r="CM2" s="132"/>
      <c r="CN2" s="132"/>
      <c r="CO2" s="132"/>
      <c r="CP2" s="132"/>
      <c r="CQ2" s="132"/>
      <c r="CR2" s="144"/>
      <c r="CS2" s="136"/>
      <c r="CT2" s="137"/>
      <c r="CU2" s="137"/>
      <c r="CV2" s="137"/>
      <c r="CW2" s="138"/>
      <c r="CX2" s="1"/>
      <c r="CY2" s="151">
        <f>COUNTA('BASE DE DATOS'!B10:B49)</f>
        <v>35</v>
      </c>
      <c r="CZ2" s="152"/>
      <c r="DA2" s="152"/>
      <c r="DB2" s="152"/>
      <c r="DC2" s="152"/>
      <c r="DD2" s="152"/>
      <c r="DE2" s="152"/>
      <c r="DF2" s="152"/>
      <c r="DG2" s="152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81" t="s">
        <v>5</v>
      </c>
      <c r="B3" s="132"/>
      <c r="C3" s="182"/>
      <c r="D3" s="183" t="s">
        <v>123</v>
      </c>
      <c r="E3" s="132"/>
      <c r="F3" s="182"/>
      <c r="G3" s="190" t="s">
        <v>6</v>
      </c>
      <c r="H3" s="132"/>
      <c r="I3" s="132"/>
      <c r="J3" s="132"/>
      <c r="K3" s="132"/>
      <c r="L3" s="132"/>
      <c r="M3" s="132"/>
      <c r="N3" s="132"/>
      <c r="O3" s="132"/>
      <c r="P3" s="184"/>
      <c r="Q3" s="132"/>
      <c r="R3" s="132"/>
      <c r="S3" s="132"/>
      <c r="T3" s="173"/>
      <c r="U3" s="132"/>
      <c r="V3" s="132"/>
      <c r="W3" s="144"/>
      <c r="X3" s="174"/>
      <c r="Y3" s="132"/>
      <c r="Z3" s="132"/>
      <c r="AA3" s="132"/>
      <c r="AB3" s="173"/>
      <c r="AC3" s="132"/>
      <c r="AD3" s="132"/>
      <c r="AE3" s="132"/>
      <c r="AF3" s="132"/>
      <c r="AG3" s="132"/>
      <c r="AH3" s="132"/>
      <c r="AI3" s="132"/>
      <c r="AJ3" s="132"/>
      <c r="AK3" s="144"/>
      <c r="AL3" s="131"/>
      <c r="AM3" s="132"/>
      <c r="AN3" s="132"/>
      <c r="AO3" s="132"/>
      <c r="AP3" s="132"/>
      <c r="AQ3" s="132"/>
      <c r="AR3" s="132"/>
      <c r="AS3" s="132"/>
      <c r="AT3" s="132"/>
      <c r="AU3" s="157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45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44"/>
      <c r="CS3" s="136"/>
      <c r="CT3" s="137"/>
      <c r="CU3" s="137"/>
      <c r="CV3" s="137"/>
      <c r="CW3" s="138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81" t="s">
        <v>7</v>
      </c>
      <c r="B4" s="132"/>
      <c r="C4" s="182"/>
      <c r="D4" s="189" t="s">
        <v>88</v>
      </c>
      <c r="E4" s="132"/>
      <c r="F4" s="182"/>
      <c r="G4" s="191" t="s">
        <v>8</v>
      </c>
      <c r="H4" s="148"/>
      <c r="I4" s="148"/>
      <c r="J4" s="148"/>
      <c r="K4" s="148"/>
      <c r="L4" s="148"/>
      <c r="M4" s="148"/>
      <c r="N4" s="148"/>
      <c r="O4" s="148"/>
      <c r="P4" s="193"/>
      <c r="Q4" s="148"/>
      <c r="R4" s="148"/>
      <c r="S4" s="148"/>
      <c r="T4" s="194"/>
      <c r="U4" s="148"/>
      <c r="V4" s="148"/>
      <c r="W4" s="149"/>
      <c r="X4" s="195"/>
      <c r="Y4" s="148"/>
      <c r="Z4" s="148"/>
      <c r="AA4" s="148"/>
      <c r="AB4" s="196"/>
      <c r="AC4" s="148"/>
      <c r="AD4" s="148"/>
      <c r="AE4" s="148"/>
      <c r="AF4" s="148"/>
      <c r="AG4" s="148"/>
      <c r="AH4" s="148"/>
      <c r="AI4" s="148"/>
      <c r="AJ4" s="148"/>
      <c r="AK4" s="149"/>
      <c r="AL4" s="147"/>
      <c r="AM4" s="148"/>
      <c r="AN4" s="148"/>
      <c r="AO4" s="148"/>
      <c r="AP4" s="148"/>
      <c r="AQ4" s="148"/>
      <c r="AR4" s="148"/>
      <c r="AS4" s="148"/>
      <c r="AT4" s="149"/>
      <c r="AU4" s="15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59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9"/>
      <c r="CS4" s="136"/>
      <c r="CT4" s="137"/>
      <c r="CU4" s="137"/>
      <c r="CV4" s="137"/>
      <c r="CW4" s="138"/>
      <c r="CX4" s="1"/>
      <c r="CY4" s="153" t="s">
        <v>9</v>
      </c>
      <c r="CZ4" s="154"/>
      <c r="DA4" s="155" t="s">
        <v>10</v>
      </c>
      <c r="DB4" s="156"/>
      <c r="DC4" s="156"/>
      <c r="DD4" s="156"/>
      <c r="DE4" s="156"/>
      <c r="DF4" s="156"/>
      <c r="DG4" s="154"/>
      <c r="DH4" s="1"/>
      <c r="DI4" s="1"/>
      <c r="DJ4" s="153" t="s">
        <v>11</v>
      </c>
      <c r="DK4" s="154"/>
      <c r="DL4" s="155" t="s">
        <v>12</v>
      </c>
      <c r="DM4" s="156"/>
      <c r="DN4" s="156"/>
      <c r="DO4" s="156"/>
      <c r="DP4" s="156"/>
      <c r="DQ4" s="156"/>
      <c r="DR4" s="154"/>
      <c r="DS4" s="1"/>
      <c r="DT4" s="1"/>
      <c r="DU4" s="1"/>
      <c r="DV4" s="1"/>
      <c r="DW4" s="1"/>
    </row>
    <row r="5" spans="1:129" ht="15.75">
      <c r="A5" s="181" t="s">
        <v>13</v>
      </c>
      <c r="B5" s="132"/>
      <c r="C5" s="182"/>
      <c r="D5" s="197" t="str">
        <f>'BASE DE DATOS'!C7</f>
        <v>COLEGIO GENERAL SANTADER</v>
      </c>
      <c r="E5" s="132"/>
      <c r="F5" s="182"/>
      <c r="G5" s="192"/>
      <c r="H5" s="152"/>
      <c r="I5" s="152"/>
      <c r="J5" s="152"/>
      <c r="K5" s="152"/>
      <c r="L5" s="152"/>
      <c r="M5" s="152"/>
      <c r="N5" s="152"/>
      <c r="O5" s="152"/>
      <c r="P5" s="139"/>
      <c r="Q5" s="140"/>
      <c r="R5" s="140"/>
      <c r="S5" s="140"/>
      <c r="T5" s="139"/>
      <c r="U5" s="140"/>
      <c r="V5" s="140"/>
      <c r="W5" s="141"/>
      <c r="X5" s="139"/>
      <c r="Y5" s="140"/>
      <c r="Z5" s="140"/>
      <c r="AA5" s="140"/>
      <c r="AB5" s="139"/>
      <c r="AC5" s="140"/>
      <c r="AD5" s="140"/>
      <c r="AE5" s="140"/>
      <c r="AF5" s="140"/>
      <c r="AG5" s="140"/>
      <c r="AH5" s="140"/>
      <c r="AI5" s="140"/>
      <c r="AJ5" s="140"/>
      <c r="AK5" s="141"/>
      <c r="AL5" s="139"/>
      <c r="AM5" s="140"/>
      <c r="AN5" s="140"/>
      <c r="AO5" s="140"/>
      <c r="AP5" s="140"/>
      <c r="AQ5" s="140"/>
      <c r="AR5" s="140"/>
      <c r="AS5" s="140"/>
      <c r="AT5" s="141"/>
      <c r="AU5" s="139"/>
      <c r="AV5" s="140"/>
      <c r="AW5" s="140"/>
      <c r="AX5" s="140"/>
      <c r="AY5" s="140"/>
      <c r="AZ5" s="140"/>
      <c r="BA5" s="140"/>
      <c r="BB5" s="140"/>
      <c r="BC5" s="140"/>
      <c r="BD5" s="140"/>
      <c r="BE5" s="140"/>
      <c r="BF5" s="140"/>
      <c r="BG5" s="140"/>
      <c r="BH5" s="140"/>
      <c r="BI5" s="140"/>
      <c r="BJ5" s="140"/>
      <c r="BK5" s="140"/>
      <c r="BL5" s="140"/>
      <c r="BM5" s="140"/>
      <c r="BN5" s="140"/>
      <c r="BO5" s="140"/>
      <c r="BP5" s="140"/>
      <c r="BQ5" s="140"/>
      <c r="BR5" s="140"/>
      <c r="BS5" s="140"/>
      <c r="BT5" s="140"/>
      <c r="BU5" s="140"/>
      <c r="BV5" s="139"/>
      <c r="BW5" s="140"/>
      <c r="BX5" s="140"/>
      <c r="BY5" s="140"/>
      <c r="BZ5" s="140"/>
      <c r="CA5" s="140"/>
      <c r="CB5" s="140"/>
      <c r="CC5" s="140"/>
      <c r="CD5" s="140"/>
      <c r="CE5" s="140"/>
      <c r="CF5" s="140"/>
      <c r="CG5" s="140"/>
      <c r="CH5" s="140"/>
      <c r="CI5" s="140"/>
      <c r="CJ5" s="140"/>
      <c r="CK5" s="140"/>
      <c r="CL5" s="140"/>
      <c r="CM5" s="140"/>
      <c r="CN5" s="140"/>
      <c r="CO5" s="140"/>
      <c r="CP5" s="140"/>
      <c r="CQ5" s="140"/>
      <c r="CR5" s="141"/>
      <c r="CS5" s="139"/>
      <c r="CT5" s="140"/>
      <c r="CU5" s="140"/>
      <c r="CV5" s="140"/>
      <c r="CW5" s="14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81" t="s">
        <v>14</v>
      </c>
      <c r="B6" s="132"/>
      <c r="C6" s="182"/>
      <c r="D6" s="3">
        <f>'BASE DE DATOS'!C4</f>
        <v>3414937</v>
      </c>
      <c r="E6" s="4" t="s">
        <v>15</v>
      </c>
      <c r="F6" s="5">
        <f>'BASE DE DATOS'!G7</f>
        <v>10</v>
      </c>
      <c r="G6" s="203" t="str">
        <f>CY1 &amp; " " &amp; CY2</f>
        <v>TOTAL APRENDICES MATRICULADOS: 35</v>
      </c>
      <c r="H6" s="148"/>
      <c r="I6" s="148"/>
      <c r="J6" s="148"/>
      <c r="K6" s="148"/>
      <c r="L6" s="148"/>
      <c r="M6" s="148"/>
      <c r="N6" s="148"/>
      <c r="O6" s="199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60" t="s">
        <v>16</v>
      </c>
      <c r="CY6" s="161"/>
      <c r="CZ6" s="161"/>
      <c r="DA6" s="161"/>
      <c r="DB6" s="161"/>
      <c r="DC6" s="161"/>
      <c r="DD6" s="161"/>
      <c r="DE6" s="161"/>
      <c r="DF6" s="161"/>
      <c r="DG6" s="161"/>
      <c r="DH6" s="161"/>
      <c r="DI6" s="161"/>
      <c r="DJ6" s="161"/>
      <c r="DK6" s="161"/>
      <c r="DL6" s="161"/>
      <c r="DM6" s="161"/>
      <c r="DN6" s="161"/>
      <c r="DO6" s="161"/>
      <c r="DP6" s="161"/>
      <c r="DQ6" s="161"/>
      <c r="DR6" s="161"/>
      <c r="DS6" s="161"/>
      <c r="DT6" s="161"/>
      <c r="DU6" s="161"/>
      <c r="DV6" s="161"/>
      <c r="DW6" s="161"/>
    </row>
    <row r="7" spans="1:129" ht="22.5">
      <c r="A7" s="204" t="s">
        <v>17</v>
      </c>
      <c r="B7" s="132"/>
      <c r="C7" s="182"/>
      <c r="D7" s="8">
        <f>'BASE DE DATOS'!G5</f>
        <v>46084</v>
      </c>
      <c r="E7" s="9" t="s">
        <v>18</v>
      </c>
      <c r="F7" s="10">
        <f>'BASE DE DATOS'!G6</f>
        <v>46086</v>
      </c>
      <c r="G7" s="200"/>
      <c r="H7" s="180"/>
      <c r="I7" s="180"/>
      <c r="J7" s="180"/>
      <c r="K7" s="180"/>
      <c r="L7" s="180"/>
      <c r="M7" s="180"/>
      <c r="N7" s="180"/>
      <c r="O7" s="201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62" t="s">
        <v>19</v>
      </c>
      <c r="CY7" s="163"/>
      <c r="CZ7" s="162" t="s">
        <v>20</v>
      </c>
      <c r="DA7" s="161"/>
      <c r="DB7" s="162" t="s">
        <v>21</v>
      </c>
      <c r="DC7" s="163"/>
      <c r="DD7" s="162" t="s">
        <v>22</v>
      </c>
      <c r="DE7" s="163"/>
      <c r="DF7" s="162" t="s">
        <v>23</v>
      </c>
      <c r="DG7" s="163"/>
      <c r="DH7" s="162" t="s">
        <v>24</v>
      </c>
      <c r="DI7" s="163"/>
      <c r="DJ7" s="162" t="s">
        <v>25</v>
      </c>
      <c r="DK7" s="163"/>
      <c r="DL7" s="162" t="s">
        <v>26</v>
      </c>
      <c r="DM7" s="163"/>
      <c r="DN7" s="162" t="s">
        <v>27</v>
      </c>
      <c r="DO7" s="163"/>
      <c r="DP7" s="162" t="s">
        <v>28</v>
      </c>
      <c r="DQ7" s="163"/>
      <c r="DR7" s="162" t="s">
        <v>29</v>
      </c>
      <c r="DS7" s="163"/>
      <c r="DT7" s="162" t="s">
        <v>30</v>
      </c>
      <c r="DU7" s="163"/>
      <c r="DV7" s="164" t="s">
        <v>31</v>
      </c>
      <c r="DW7" s="161"/>
    </row>
    <row r="8" spans="1:129" ht="30.75" customHeight="1">
      <c r="A8" s="13" t="s">
        <v>32</v>
      </c>
      <c r="B8" s="14" t="s">
        <v>33</v>
      </c>
      <c r="C8" s="15" t="s">
        <v>34</v>
      </c>
      <c r="D8" s="71" t="s">
        <v>35</v>
      </c>
      <c r="E8" s="71" t="s">
        <v>36</v>
      </c>
      <c r="F8" s="71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1146324092</v>
      </c>
      <c r="D9" s="28" t="str">
        <f>'BASE DE DATOS'!B10</f>
        <v>Asly Julieth Acosta Bohórquez</v>
      </c>
      <c r="E9" s="29" t="s">
        <v>46</v>
      </c>
      <c r="F9" s="30" t="str">
        <f t="shared" ref="F9:F43" si="2">IF(I9=0,"",IF(I9&gt;=5,"FALTAS INTERMITENTES",IF(I9&gt;=3,"REVISAR FALTAS",IF(AND(I9&lt;3,I9&gt;0),"CON FALTAS"))))</f>
        <v/>
      </c>
      <c r="G9" s="31">
        <f t="shared" ref="G9:G13" si="3">COUNTIF(P9:CR9,"A")</f>
        <v>9</v>
      </c>
      <c r="H9" s="32">
        <f t="shared" ref="H9:H13" si="4">COUNTIF(P9:CR9,"CE")</f>
        <v>0</v>
      </c>
      <c r="I9" s="32">
        <f t="shared" ref="I9:I13" si="5">COUNTIF(P9:CR9,"SE")</f>
        <v>0</v>
      </c>
      <c r="J9" s="32">
        <f t="shared" ref="J9:J13" si="6">COUNTIF(P9:CR9,"INC")</f>
        <v>0</v>
      </c>
      <c r="K9" s="32">
        <f t="shared" ref="K9:K13" si="7">COUNTIF(P9:CR9,"LIC")</f>
        <v>0</v>
      </c>
      <c r="L9" s="32">
        <f t="shared" ref="L9:L13" si="8">COUNTIF(P9:CR9,"CLM")</f>
        <v>0</v>
      </c>
      <c r="M9" s="32">
        <f t="shared" ref="M9:M13" si="9">COUNTIF(P9:IA9,"SFF")</f>
        <v>0</v>
      </c>
      <c r="N9" s="33">
        <f t="shared" ref="N9:N13" si="10">COUNTIF(P9:CR9,"RET")</f>
        <v>0</v>
      </c>
      <c r="O9" s="34">
        <f t="shared" ref="O9:O43" si="11">IFERROR(SUM(H9:K9)/SUM(G9:K9)," ")</f>
        <v>0</v>
      </c>
      <c r="P9" s="35" t="s">
        <v>38</v>
      </c>
      <c r="Q9" s="35" t="s">
        <v>38</v>
      </c>
      <c r="R9" s="35" t="s">
        <v>38</v>
      </c>
      <c r="S9" s="35" t="s">
        <v>38</v>
      </c>
      <c r="T9" s="35" t="s">
        <v>38</v>
      </c>
      <c r="U9" s="35" t="s">
        <v>38</v>
      </c>
      <c r="V9" s="35" t="s">
        <v>38</v>
      </c>
      <c r="W9" s="35" t="s">
        <v>38</v>
      </c>
      <c r="X9" s="35"/>
      <c r="Y9" s="35"/>
      <c r="Z9" s="35" t="s">
        <v>38</v>
      </c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3" si="13">A9+1</f>
        <v>2</v>
      </c>
      <c r="B10" s="26" t="str">
        <f>'BASE DE DATOS'!C11</f>
        <v>TI</v>
      </c>
      <c r="C10" s="27">
        <f>'BASE DE DATOS'!D11</f>
        <v>1049625777</v>
      </c>
      <c r="D10" s="28" t="str">
        <f>'BASE DE DATOS'!B11</f>
        <v>Deivy Jeampier Albiadez Pulido</v>
      </c>
      <c r="E10" s="29" t="s">
        <v>46</v>
      </c>
      <c r="F10" s="30" t="str">
        <f t="shared" si="2"/>
        <v>CON FALTAS</v>
      </c>
      <c r="G10" s="41">
        <f t="shared" si="3"/>
        <v>7</v>
      </c>
      <c r="H10" s="42">
        <f t="shared" si="4"/>
        <v>0</v>
      </c>
      <c r="I10" s="42">
        <f t="shared" si="5"/>
        <v>2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34">
        <f t="shared" si="11"/>
        <v>0.22222222222222221</v>
      </c>
      <c r="P10" s="35" t="s">
        <v>11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11</v>
      </c>
      <c r="W10" s="35" t="s">
        <v>38</v>
      </c>
      <c r="X10" s="35"/>
      <c r="Y10" s="35"/>
      <c r="Z10" s="35" t="s">
        <v>38</v>
      </c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1028869421</v>
      </c>
      <c r="D11" s="28" t="str">
        <f>'BASE DE DATOS'!B12</f>
        <v>Danna Nataly Álvarez Caraballo</v>
      </c>
      <c r="E11" s="29" t="s">
        <v>46</v>
      </c>
      <c r="F11" s="30" t="str">
        <f t="shared" si="2"/>
        <v/>
      </c>
      <c r="G11" s="41">
        <f t="shared" si="3"/>
        <v>9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34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 t="s">
        <v>38</v>
      </c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1016955582</v>
      </c>
      <c r="D12" s="28" t="str">
        <f>'BASE DE DATOS'!B13</f>
        <v>Andrés Uriel Arévalo Guerrero</v>
      </c>
      <c r="E12" s="29" t="s">
        <v>46</v>
      </c>
      <c r="F12" s="30" t="str">
        <f t="shared" si="2"/>
        <v/>
      </c>
      <c r="G12" s="41">
        <f t="shared" si="3"/>
        <v>9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34">
        <f t="shared" si="11"/>
        <v>0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 t="s">
        <v>38</v>
      </c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1141718150</v>
      </c>
      <c r="D13" s="28" t="str">
        <f>'BASE DE DATOS'!B14</f>
        <v>Angie Nikole Ballesteros Pachón</v>
      </c>
      <c r="E13" s="29" t="s">
        <v>46</v>
      </c>
      <c r="F13" s="30" t="str">
        <f t="shared" si="2"/>
        <v/>
      </c>
      <c r="G13" s="41">
        <f t="shared" si="3"/>
        <v>9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34">
        <f t="shared" si="11"/>
        <v>0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38</v>
      </c>
      <c r="U13" s="35" t="s">
        <v>38</v>
      </c>
      <c r="V13" s="35" t="s">
        <v>38</v>
      </c>
      <c r="W13" s="35" t="s">
        <v>38</v>
      </c>
      <c r="X13" s="35"/>
      <c r="Y13" s="35"/>
      <c r="Z13" s="35" t="s">
        <v>38</v>
      </c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7851588</v>
      </c>
      <c r="D14" s="28" t="str">
        <f>'BASE DE DATOS'!B15</f>
        <v>Carlos Enrique Bastidas Alcala</v>
      </c>
      <c r="E14" s="29" t="s">
        <v>46</v>
      </c>
      <c r="F14" s="30" t="str">
        <f t="shared" si="2"/>
        <v>CON FALTAS</v>
      </c>
      <c r="G14" s="41">
        <f t="shared" ref="G14" si="18">COUNTIF(P14:CR14,"A")</f>
        <v>8</v>
      </c>
      <c r="H14" s="42">
        <f t="shared" ref="H14" si="19">COUNTIF(P14:CR14,"CE")</f>
        <v>0</v>
      </c>
      <c r="I14" s="42">
        <f t="shared" ref="I14" si="20">COUNTIF(P14:CR14,"SE")</f>
        <v>1</v>
      </c>
      <c r="J14" s="42">
        <f t="shared" ref="J14" si="21">COUNTIF(P14:CR14,"INC")</f>
        <v>0</v>
      </c>
      <c r="K14" s="42">
        <f t="shared" ref="K14" si="22">COUNTIF(P14:CR14,"LIC")</f>
        <v>0</v>
      </c>
      <c r="L14" s="42">
        <f t="shared" ref="L14" si="23">COUNTIF(P14:CR14,"CLM")</f>
        <v>0</v>
      </c>
      <c r="M14" s="32">
        <f t="shared" ref="M14" si="24">COUNTIF(P14:IA14,"SFF")</f>
        <v>0</v>
      </c>
      <c r="N14" s="33">
        <f t="shared" ref="N14" si="25">COUNTIF(P14:CR14,"RET")</f>
        <v>0</v>
      </c>
      <c r="O14" s="34">
        <f t="shared" si="11"/>
        <v>0.1111111111111111</v>
      </c>
      <c r="P14" s="35" t="s">
        <v>38</v>
      </c>
      <c r="Q14" s="35" t="s">
        <v>38</v>
      </c>
      <c r="R14" s="35" t="s">
        <v>38</v>
      </c>
      <c r="S14" s="35" t="s">
        <v>11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 t="s">
        <v>38</v>
      </c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26">CX14+CZ14+DB14+DD14+DF14+DH14+DJ14+DL14+DN14+DP14+DR14+DT14</f>
        <v>0</v>
      </c>
      <c r="DW14" s="38">
        <f t="shared" si="26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1141719253</v>
      </c>
      <c r="D15" s="28" t="str">
        <f>'BASE DE DATOS'!B16</f>
        <v>Carly Maia Blanco Avendaño</v>
      </c>
      <c r="E15" s="29" t="s">
        <v>46</v>
      </c>
      <c r="F15" s="30" t="str">
        <f t="shared" si="2"/>
        <v>CON FALTAS</v>
      </c>
      <c r="G15" s="41">
        <f t="shared" ref="G15:G43" si="27">COUNTIF(P14:CR14,"A")</f>
        <v>8</v>
      </c>
      <c r="H15" s="42">
        <f t="shared" ref="H15:I43" si="28">COUNTIF(P14:CR14,"CE")</f>
        <v>0</v>
      </c>
      <c r="I15" s="42">
        <f t="shared" ref="I15:I43" si="29">COUNTIF(P14:CR14,"SE")</f>
        <v>1</v>
      </c>
      <c r="J15" s="42">
        <f t="shared" ref="J15:J43" si="30">COUNTIF(P14:CR14,"INC")</f>
        <v>0</v>
      </c>
      <c r="K15" s="42">
        <f t="shared" ref="K15:K43" si="31">COUNTIF(P14:CR14,"LIC")</f>
        <v>0</v>
      </c>
      <c r="L15" s="42">
        <f t="shared" ref="L15:L43" si="32">COUNTIF(P14:CR14,"CLM")</f>
        <v>0</v>
      </c>
      <c r="M15" s="32">
        <f t="shared" ref="M15:M43" si="33">COUNTIF(P14:IA14,"SFF")</f>
        <v>0</v>
      </c>
      <c r="N15" s="33">
        <f t="shared" ref="N15:N43" si="34">COUNTIF(P14:CR14,"RET")</f>
        <v>0</v>
      </c>
      <c r="O15" s="34">
        <f t="shared" si="11"/>
        <v>0.1111111111111111</v>
      </c>
      <c r="P15" s="35" t="s">
        <v>38</v>
      </c>
      <c r="Q15" s="35" t="s">
        <v>38</v>
      </c>
      <c r="R15" s="35" t="s">
        <v>38</v>
      </c>
      <c r="S15" s="35" t="s">
        <v>11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 t="s">
        <v>11</v>
      </c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35">CX15+CZ15+DB15+DD15+DF15+DH15+DJ15+DL15+DN15+DP15+DR15+DT15</f>
        <v>0</v>
      </c>
      <c r="DW15" s="38">
        <f t="shared" si="35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1066736644</v>
      </c>
      <c r="D16" s="28" t="str">
        <f>'BASE DE DATOS'!B17</f>
        <v>Danna Nicol Caldera González</v>
      </c>
      <c r="E16" s="29" t="s">
        <v>46</v>
      </c>
      <c r="F16" s="30" t="str">
        <f t="shared" si="2"/>
        <v/>
      </c>
      <c r="G16" s="41">
        <f t="shared" si="27"/>
        <v>7</v>
      </c>
      <c r="H16" s="42">
        <f t="shared" si="28"/>
        <v>0</v>
      </c>
      <c r="I16" s="42">
        <f t="shared" si="28"/>
        <v>0</v>
      </c>
      <c r="J16" s="42">
        <f t="shared" si="30"/>
        <v>0</v>
      </c>
      <c r="K16" s="42">
        <f t="shared" si="31"/>
        <v>0</v>
      </c>
      <c r="L16" s="42">
        <f t="shared" si="32"/>
        <v>0</v>
      </c>
      <c r="M16" s="32">
        <f t="shared" si="33"/>
        <v>0</v>
      </c>
      <c r="N16" s="33">
        <f t="shared" si="34"/>
        <v>0</v>
      </c>
      <c r="O16" s="34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11</v>
      </c>
      <c r="X16" s="35"/>
      <c r="Y16" s="35"/>
      <c r="Z16" s="35" t="s">
        <v>38</v>
      </c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36">CX16+CZ16+DB16+DD16+DF16+DH16+DJ16+DL16+DN16+DP16+DR16+DT16</f>
        <v>0</v>
      </c>
      <c r="DW16" s="38">
        <f t="shared" si="36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1142518342</v>
      </c>
      <c r="D17" s="28" t="str">
        <f>'BASE DE DATOS'!B18</f>
        <v>Laura Tatiana Cardona Arenas</v>
      </c>
      <c r="E17" s="29" t="s">
        <v>46</v>
      </c>
      <c r="F17" s="30" t="str">
        <f t="shared" si="2"/>
        <v>CON FALTAS</v>
      </c>
      <c r="G17" s="41">
        <f t="shared" si="27"/>
        <v>8</v>
      </c>
      <c r="H17" s="42">
        <f t="shared" si="28"/>
        <v>0</v>
      </c>
      <c r="I17" s="42">
        <f t="shared" si="29"/>
        <v>1</v>
      </c>
      <c r="J17" s="42">
        <f t="shared" si="30"/>
        <v>0</v>
      </c>
      <c r="K17" s="42">
        <f t="shared" si="31"/>
        <v>0</v>
      </c>
      <c r="L17" s="42">
        <f t="shared" si="32"/>
        <v>0</v>
      </c>
      <c r="M17" s="32">
        <f t="shared" si="33"/>
        <v>0</v>
      </c>
      <c r="N17" s="33">
        <f t="shared" si="34"/>
        <v>0</v>
      </c>
      <c r="O17" s="34">
        <f t="shared" si="11"/>
        <v>0.1111111111111111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9</v>
      </c>
      <c r="V17" s="35" t="s">
        <v>38</v>
      </c>
      <c r="W17" s="35" t="s">
        <v>38</v>
      </c>
      <c r="X17" s="35"/>
      <c r="Y17" s="35"/>
      <c r="Z17" s="35" t="s">
        <v>38</v>
      </c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37">CX17+CZ17+DB17+DD17+DF17+DH17+DJ17+DL17+DN17+DP17+DR17+DT17</f>
        <v>0</v>
      </c>
      <c r="DW17" s="38">
        <f t="shared" si="37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1014238336</v>
      </c>
      <c r="D18" s="28" t="str">
        <f>'BASE DE DATOS'!B19</f>
        <v>Melany Sofia Casas Montenegro</v>
      </c>
      <c r="E18" s="29" t="s">
        <v>46</v>
      </c>
      <c r="F18" s="30" t="str">
        <f t="shared" si="2"/>
        <v/>
      </c>
      <c r="G18" s="41">
        <f t="shared" si="27"/>
        <v>8</v>
      </c>
      <c r="H18" s="42">
        <f t="shared" si="28"/>
        <v>1</v>
      </c>
      <c r="I18" s="42">
        <f t="shared" si="29"/>
        <v>0</v>
      </c>
      <c r="J18" s="42">
        <f t="shared" si="30"/>
        <v>0</v>
      </c>
      <c r="K18" s="42">
        <f t="shared" si="31"/>
        <v>0</v>
      </c>
      <c r="L18" s="42">
        <f t="shared" si="32"/>
        <v>0</v>
      </c>
      <c r="M18" s="32">
        <f t="shared" si="33"/>
        <v>0</v>
      </c>
      <c r="N18" s="33">
        <f t="shared" si="34"/>
        <v>0</v>
      </c>
      <c r="O18" s="34">
        <f t="shared" si="11"/>
        <v>0.1111111111111111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 t="s">
        <v>38</v>
      </c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38">CX18+CZ18+DB18+DD18+DF18+DH18+DJ18+DL18+DN18+DP18+DR18+DT18</f>
        <v>0</v>
      </c>
      <c r="DW18" s="38">
        <f t="shared" si="38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1013009001</v>
      </c>
      <c r="D19" s="28" t="str">
        <f>'BASE DE DATOS'!B20</f>
        <v>Karol Dayan Chisco Rodríguez</v>
      </c>
      <c r="E19" s="29" t="s">
        <v>46</v>
      </c>
      <c r="F19" s="30" t="str">
        <f t="shared" si="2"/>
        <v/>
      </c>
      <c r="G19" s="41">
        <f t="shared" si="27"/>
        <v>9</v>
      </c>
      <c r="H19" s="42">
        <f t="shared" si="28"/>
        <v>0</v>
      </c>
      <c r="I19" s="42">
        <f t="shared" si="29"/>
        <v>0</v>
      </c>
      <c r="J19" s="42">
        <f t="shared" si="30"/>
        <v>0</v>
      </c>
      <c r="K19" s="42">
        <f t="shared" si="31"/>
        <v>0</v>
      </c>
      <c r="L19" s="42">
        <f t="shared" si="32"/>
        <v>0</v>
      </c>
      <c r="M19" s="32">
        <f t="shared" si="33"/>
        <v>0</v>
      </c>
      <c r="N19" s="33">
        <f t="shared" si="34"/>
        <v>0</v>
      </c>
      <c r="O19" s="34">
        <f t="shared" si="11"/>
        <v>0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 t="s">
        <v>38</v>
      </c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39">CX19+CZ19+DB19+DD19+DF19+DH19+DJ19+DL19+DN19+DP19+DR19+DT19</f>
        <v>0</v>
      </c>
      <c r="DW19" s="38">
        <f t="shared" si="39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1013271513</v>
      </c>
      <c r="D20" s="28" t="str">
        <f>'BASE DE DATOS'!B21</f>
        <v>Keimy Dayana Cuaji Franco</v>
      </c>
      <c r="E20" s="29" t="s">
        <v>46</v>
      </c>
      <c r="F20" s="30" t="str">
        <f t="shared" si="2"/>
        <v/>
      </c>
      <c r="G20" s="41">
        <f t="shared" si="27"/>
        <v>9</v>
      </c>
      <c r="H20" s="42">
        <f t="shared" si="28"/>
        <v>0</v>
      </c>
      <c r="I20" s="42">
        <f t="shared" si="29"/>
        <v>0</v>
      </c>
      <c r="J20" s="42">
        <f t="shared" si="30"/>
        <v>0</v>
      </c>
      <c r="K20" s="42">
        <f t="shared" si="31"/>
        <v>0</v>
      </c>
      <c r="L20" s="42">
        <f t="shared" si="32"/>
        <v>0</v>
      </c>
      <c r="M20" s="32">
        <f t="shared" si="33"/>
        <v>0</v>
      </c>
      <c r="N20" s="33">
        <f t="shared" si="34"/>
        <v>0</v>
      </c>
      <c r="O20" s="34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 t="s">
        <v>38</v>
      </c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40">CX20+CZ20+DB20+DD20+DF20+DH20+DJ20+DL20+DN20+DP20+DR20+DT20</f>
        <v>0</v>
      </c>
      <c r="DW20" s="38">
        <f t="shared" si="40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1014225534</v>
      </c>
      <c r="D21" s="28" t="str">
        <f>'BASE DE DATOS'!B22</f>
        <v>Katherine Vanessa Díaz Diaz</v>
      </c>
      <c r="E21" s="29" t="s">
        <v>46</v>
      </c>
      <c r="F21" s="30" t="str">
        <f t="shared" si="2"/>
        <v/>
      </c>
      <c r="G21" s="41">
        <f t="shared" si="27"/>
        <v>9</v>
      </c>
      <c r="H21" s="42">
        <f t="shared" si="28"/>
        <v>0</v>
      </c>
      <c r="I21" s="42">
        <f t="shared" si="29"/>
        <v>0</v>
      </c>
      <c r="J21" s="42">
        <f t="shared" si="30"/>
        <v>0</v>
      </c>
      <c r="K21" s="42">
        <f t="shared" si="31"/>
        <v>0</v>
      </c>
      <c r="L21" s="42">
        <f t="shared" si="32"/>
        <v>0</v>
      </c>
      <c r="M21" s="32">
        <f t="shared" si="33"/>
        <v>0</v>
      </c>
      <c r="N21" s="33">
        <f t="shared" si="34"/>
        <v>0</v>
      </c>
      <c r="O21" s="34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 t="s">
        <v>38</v>
      </c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41">CX21+CZ21+DB21+DD21+DF21+DH21+DJ21+DL21+DN21+DP21+DR21+DT21</f>
        <v>0</v>
      </c>
      <c r="DW21" s="38">
        <f t="shared" si="41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1140823645</v>
      </c>
      <c r="D22" s="28" t="str">
        <f>'BASE DE DATOS'!B23</f>
        <v>Olith Fernando Escalante Parada</v>
      </c>
      <c r="E22" s="29" t="s">
        <v>46</v>
      </c>
      <c r="F22" s="30" t="str">
        <f t="shared" si="2"/>
        <v/>
      </c>
      <c r="G22" s="41">
        <f t="shared" si="27"/>
        <v>9</v>
      </c>
      <c r="H22" s="42">
        <f t="shared" si="28"/>
        <v>0</v>
      </c>
      <c r="I22" s="42">
        <f t="shared" si="29"/>
        <v>0</v>
      </c>
      <c r="J22" s="42">
        <f t="shared" si="30"/>
        <v>0</v>
      </c>
      <c r="K22" s="42">
        <f t="shared" si="31"/>
        <v>0</v>
      </c>
      <c r="L22" s="42">
        <f t="shared" si="32"/>
        <v>0</v>
      </c>
      <c r="M22" s="32">
        <f t="shared" si="33"/>
        <v>0</v>
      </c>
      <c r="N22" s="33">
        <f t="shared" si="34"/>
        <v>0</v>
      </c>
      <c r="O22" s="34">
        <f t="shared" si="11"/>
        <v>0</v>
      </c>
      <c r="P22" s="35" t="s">
        <v>38</v>
      </c>
      <c r="Q22" s="35" t="s">
        <v>38</v>
      </c>
      <c r="R22" s="35" t="s">
        <v>38</v>
      </c>
      <c r="S22" s="35" t="s">
        <v>9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 t="s">
        <v>11</v>
      </c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42">CX22+CZ22+DB22+DD22+DF22+DH22+DJ22+DL22+DN22+DP22+DR22+DT22</f>
        <v>0</v>
      </c>
      <c r="DW22" s="38">
        <f t="shared" si="42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1016957094</v>
      </c>
      <c r="D23" s="28" t="str">
        <f>'BASE DE DATOS'!B24</f>
        <v>Daniel Steven Garzón Quintana</v>
      </c>
      <c r="E23" s="29" t="s">
        <v>46</v>
      </c>
      <c r="F23" s="30" t="str">
        <f t="shared" si="2"/>
        <v>CON FALTAS</v>
      </c>
      <c r="G23" s="41">
        <f t="shared" si="27"/>
        <v>7</v>
      </c>
      <c r="H23" s="42">
        <f t="shared" si="28"/>
        <v>1</v>
      </c>
      <c r="I23" s="42">
        <f t="shared" si="29"/>
        <v>1</v>
      </c>
      <c r="J23" s="42">
        <f t="shared" si="30"/>
        <v>0</v>
      </c>
      <c r="K23" s="42">
        <f t="shared" si="31"/>
        <v>0</v>
      </c>
      <c r="L23" s="42">
        <f t="shared" si="32"/>
        <v>0</v>
      </c>
      <c r="M23" s="32">
        <f t="shared" si="33"/>
        <v>0</v>
      </c>
      <c r="N23" s="33">
        <f t="shared" si="34"/>
        <v>0</v>
      </c>
      <c r="O23" s="34">
        <f t="shared" si="11"/>
        <v>0.22222222222222221</v>
      </c>
      <c r="P23" s="35" t="s">
        <v>38</v>
      </c>
      <c r="Q23" s="35" t="s">
        <v>38</v>
      </c>
      <c r="R23" s="35" t="s">
        <v>38</v>
      </c>
      <c r="S23" s="35" t="s">
        <v>38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 t="s">
        <v>38</v>
      </c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43">CX23+CZ23+DB23+DD23+DF23+DH23+DJ23+DL23+DN23+DP23+DR23+DT23</f>
        <v>0</v>
      </c>
      <c r="DW23" s="38">
        <f t="shared" si="43"/>
        <v>0</v>
      </c>
      <c r="DY23" s="39"/>
    </row>
    <row r="24" spans="1:129" ht="15.75" customHeight="1">
      <c r="A24" s="122">
        <f t="shared" si="13"/>
        <v>16</v>
      </c>
      <c r="B24" s="123" t="str">
        <f>'BASE DE DATOS'!C25</f>
        <v>TI</v>
      </c>
      <c r="C24" s="124">
        <f>'BASE DE DATOS'!D25</f>
        <v>1087819083</v>
      </c>
      <c r="D24" s="125" t="str">
        <f>'BASE DE DATOS'!B25</f>
        <v>Sharith Yesid González Rodríguez</v>
      </c>
      <c r="E24" s="29" t="s">
        <v>46</v>
      </c>
      <c r="F24" s="30" t="str">
        <f t="shared" si="2"/>
        <v/>
      </c>
      <c r="G24" s="41">
        <f t="shared" si="27"/>
        <v>9</v>
      </c>
      <c r="H24" s="42">
        <f t="shared" si="28"/>
        <v>0</v>
      </c>
      <c r="I24" s="42">
        <f t="shared" si="29"/>
        <v>0</v>
      </c>
      <c r="J24" s="42">
        <f t="shared" si="30"/>
        <v>0</v>
      </c>
      <c r="K24" s="42">
        <f t="shared" si="31"/>
        <v>0</v>
      </c>
      <c r="L24" s="42">
        <f t="shared" si="32"/>
        <v>0</v>
      </c>
      <c r="M24" s="32">
        <f t="shared" si="33"/>
        <v>0</v>
      </c>
      <c r="N24" s="33">
        <f t="shared" si="34"/>
        <v>0</v>
      </c>
      <c r="O24" s="34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11</v>
      </c>
      <c r="U24" s="35" t="s">
        <v>38</v>
      </c>
      <c r="V24" s="35" t="s">
        <v>11</v>
      </c>
      <c r="W24" s="35" t="s">
        <v>11</v>
      </c>
      <c r="X24" s="35"/>
      <c r="Y24" s="35"/>
      <c r="Z24" s="35" t="s">
        <v>38</v>
      </c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44">CX24+CZ24+DB24+DD24+DF24+DH24+DJ24+DL24+DN24+DP24+DR24+DT24</f>
        <v>0</v>
      </c>
      <c r="DW24" s="38">
        <f t="shared" si="44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1145226076</v>
      </c>
      <c r="D25" s="28" t="str">
        <f>'BASE DE DATOS'!B26</f>
        <v>Danna Stephani Hernández Rivera</v>
      </c>
      <c r="E25" s="29" t="s">
        <v>46</v>
      </c>
      <c r="F25" s="30" t="str">
        <f t="shared" si="2"/>
        <v/>
      </c>
      <c r="G25" s="41">
        <f t="shared" si="27"/>
        <v>6</v>
      </c>
      <c r="H25" s="42">
        <f t="shared" si="28"/>
        <v>0</v>
      </c>
      <c r="I25" s="42">
        <f t="shared" si="28"/>
        <v>0</v>
      </c>
      <c r="J25" s="42">
        <f t="shared" si="30"/>
        <v>0</v>
      </c>
      <c r="K25" s="42">
        <f t="shared" si="31"/>
        <v>0</v>
      </c>
      <c r="L25" s="42">
        <f t="shared" si="32"/>
        <v>0</v>
      </c>
      <c r="M25" s="32">
        <f t="shared" si="33"/>
        <v>0</v>
      </c>
      <c r="N25" s="33">
        <f t="shared" si="34"/>
        <v>0</v>
      </c>
      <c r="O25" s="34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 t="s">
        <v>38</v>
      </c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45">CX25+CZ25+DB25+DD25+DF25+DH25+DJ25+DL25+DN25+DP25+DR25+DT25</f>
        <v>0</v>
      </c>
      <c r="DW25" s="38">
        <f t="shared" si="45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1010842416</v>
      </c>
      <c r="D26" s="28" t="str">
        <f>'BASE DE DATOS'!B27</f>
        <v>Laura Sofia Hernández Torres</v>
      </c>
      <c r="E26" s="29" t="s">
        <v>46</v>
      </c>
      <c r="F26" s="30" t="str">
        <f t="shared" si="2"/>
        <v/>
      </c>
      <c r="G26" s="41">
        <f t="shared" si="27"/>
        <v>9</v>
      </c>
      <c r="H26" s="42">
        <f t="shared" si="28"/>
        <v>0</v>
      </c>
      <c r="I26" s="42">
        <f t="shared" si="29"/>
        <v>0</v>
      </c>
      <c r="J26" s="42">
        <f t="shared" si="30"/>
        <v>0</v>
      </c>
      <c r="K26" s="42">
        <f t="shared" si="31"/>
        <v>0</v>
      </c>
      <c r="L26" s="42">
        <f t="shared" si="32"/>
        <v>0</v>
      </c>
      <c r="M26" s="32">
        <f t="shared" si="33"/>
        <v>0</v>
      </c>
      <c r="N26" s="33">
        <f t="shared" si="34"/>
        <v>0</v>
      </c>
      <c r="O26" s="34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 t="s">
        <v>11</v>
      </c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46">CX26+CZ26+DB26+DD26+DF26+DH26+DJ26+DL26+DN26+DP26+DR26+DT26</f>
        <v>0</v>
      </c>
      <c r="DW26" s="38">
        <f t="shared" si="46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1043012569</v>
      </c>
      <c r="D27" s="28" t="str">
        <f>'BASE DE DATOS'!B28</f>
        <v>Luis Santiago Huguez Zumaque</v>
      </c>
      <c r="E27" s="29" t="s">
        <v>46</v>
      </c>
      <c r="F27" s="30" t="str">
        <f t="shared" si="2"/>
        <v>CON FALTAS</v>
      </c>
      <c r="G27" s="41">
        <f t="shared" si="27"/>
        <v>8</v>
      </c>
      <c r="H27" s="42">
        <f t="shared" si="28"/>
        <v>0</v>
      </c>
      <c r="I27" s="42">
        <f t="shared" si="29"/>
        <v>1</v>
      </c>
      <c r="J27" s="42">
        <f t="shared" si="30"/>
        <v>0</v>
      </c>
      <c r="K27" s="42">
        <f t="shared" si="31"/>
        <v>0</v>
      </c>
      <c r="L27" s="42">
        <f t="shared" si="32"/>
        <v>0</v>
      </c>
      <c r="M27" s="32">
        <f t="shared" si="33"/>
        <v>0</v>
      </c>
      <c r="N27" s="33">
        <f t="shared" si="34"/>
        <v>0</v>
      </c>
      <c r="O27" s="34">
        <f t="shared" si="11"/>
        <v>0.1111111111111111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 t="s">
        <v>38</v>
      </c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47">CX27+CZ27+DB27+DD27+DF27+DH27+DJ27+DL27+DN27+DP27+DR27+DT27</f>
        <v>0</v>
      </c>
      <c r="DW27" s="38">
        <f t="shared" si="47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1028492444</v>
      </c>
      <c r="D28" s="28" t="str">
        <f>'BASE DE DATOS'!B29</f>
        <v>Samantha León Moscoso</v>
      </c>
      <c r="E28" s="29" t="s">
        <v>46</v>
      </c>
      <c r="F28" s="30" t="str">
        <f t="shared" si="2"/>
        <v/>
      </c>
      <c r="G28" s="41">
        <f t="shared" si="27"/>
        <v>9</v>
      </c>
      <c r="H28" s="42">
        <f t="shared" si="28"/>
        <v>0</v>
      </c>
      <c r="I28" s="42">
        <f t="shared" si="29"/>
        <v>0</v>
      </c>
      <c r="J28" s="42">
        <f t="shared" si="30"/>
        <v>0</v>
      </c>
      <c r="K28" s="42">
        <f t="shared" si="31"/>
        <v>0</v>
      </c>
      <c r="L28" s="42">
        <f t="shared" si="32"/>
        <v>0</v>
      </c>
      <c r="M28" s="32">
        <f t="shared" si="33"/>
        <v>0</v>
      </c>
      <c r="N28" s="33">
        <f t="shared" si="34"/>
        <v>0</v>
      </c>
      <c r="O28" s="34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11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 t="s">
        <v>11</v>
      </c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48">CX28+CZ28+DB28+DD28+DF28+DH28+DJ28+DL28+DN28+DP28+DR28+DT28</f>
        <v>0</v>
      </c>
      <c r="DW28" s="38">
        <f t="shared" si="48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1140420067</v>
      </c>
      <c r="D29" s="28" t="str">
        <f>'BASE DE DATOS'!B30</f>
        <v>Aurimar Fernanda Lizarazo Silva</v>
      </c>
      <c r="E29" s="29" t="s">
        <v>46</v>
      </c>
      <c r="F29" s="30" t="str">
        <f t="shared" si="2"/>
        <v>CON FALTAS</v>
      </c>
      <c r="G29" s="41">
        <f t="shared" si="27"/>
        <v>7</v>
      </c>
      <c r="H29" s="42">
        <f t="shared" si="28"/>
        <v>0</v>
      </c>
      <c r="I29" s="42">
        <f t="shared" si="29"/>
        <v>2</v>
      </c>
      <c r="J29" s="42">
        <f t="shared" si="30"/>
        <v>0</v>
      </c>
      <c r="K29" s="42">
        <f t="shared" si="31"/>
        <v>0</v>
      </c>
      <c r="L29" s="42">
        <f t="shared" si="32"/>
        <v>0</v>
      </c>
      <c r="M29" s="32">
        <f t="shared" si="33"/>
        <v>0</v>
      </c>
      <c r="N29" s="33">
        <f t="shared" si="34"/>
        <v>0</v>
      </c>
      <c r="O29" s="34">
        <f t="shared" si="11"/>
        <v>0.22222222222222221</v>
      </c>
      <c r="P29" s="35" t="s">
        <v>38</v>
      </c>
      <c r="Q29" s="35" t="s">
        <v>38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 t="s">
        <v>38</v>
      </c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49">CX29+CZ29+DB29+DD29+DF29+DH29+DJ29+DL29+DN29+DP29+DR29+DT29</f>
        <v>0</v>
      </c>
      <c r="DW29" s="38">
        <f t="shared" si="49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1070391413</v>
      </c>
      <c r="D30" s="28" t="str">
        <f>'BASE DE DATOS'!B31</f>
        <v>María Valentina Lozano Parra</v>
      </c>
      <c r="E30" s="29" t="s">
        <v>46</v>
      </c>
      <c r="F30" s="30" t="str">
        <f t="shared" si="2"/>
        <v>CON FALTAS</v>
      </c>
      <c r="G30" s="41">
        <f t="shared" si="27"/>
        <v>8</v>
      </c>
      <c r="H30" s="42">
        <f t="shared" si="28"/>
        <v>0</v>
      </c>
      <c r="I30" s="42">
        <f t="shared" si="29"/>
        <v>1</v>
      </c>
      <c r="J30" s="42">
        <f t="shared" si="30"/>
        <v>0</v>
      </c>
      <c r="K30" s="42">
        <f t="shared" si="31"/>
        <v>0</v>
      </c>
      <c r="L30" s="42">
        <f t="shared" si="32"/>
        <v>0</v>
      </c>
      <c r="M30" s="32">
        <f t="shared" si="33"/>
        <v>0</v>
      </c>
      <c r="N30" s="33">
        <f t="shared" si="34"/>
        <v>0</v>
      </c>
      <c r="O30" s="34">
        <f t="shared" si="11"/>
        <v>0.1111111111111111</v>
      </c>
      <c r="P30" s="35" t="s">
        <v>38</v>
      </c>
      <c r="Q30" s="35" t="s">
        <v>38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 t="s">
        <v>38</v>
      </c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50">CX30+CZ30+DB30+DD30+DF30+DH30+DJ30+DL30+DN30+DP30+DR30+DT30</f>
        <v>0</v>
      </c>
      <c r="DW30" s="38">
        <f t="shared" si="50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1143139345</v>
      </c>
      <c r="D31" s="28" t="str">
        <f>'BASE DE DATOS'!B32</f>
        <v>Danna Michelle Madrid Meyer</v>
      </c>
      <c r="E31" s="29" t="s">
        <v>46</v>
      </c>
      <c r="F31" s="30" t="str">
        <f t="shared" si="2"/>
        <v/>
      </c>
      <c r="G31" s="41">
        <f t="shared" si="27"/>
        <v>9</v>
      </c>
      <c r="H31" s="42">
        <f t="shared" si="28"/>
        <v>0</v>
      </c>
      <c r="I31" s="42">
        <f t="shared" si="29"/>
        <v>0</v>
      </c>
      <c r="J31" s="42">
        <f t="shared" si="30"/>
        <v>0</v>
      </c>
      <c r="K31" s="42">
        <f t="shared" si="31"/>
        <v>0</v>
      </c>
      <c r="L31" s="42">
        <f t="shared" si="32"/>
        <v>0</v>
      </c>
      <c r="M31" s="32">
        <f t="shared" si="33"/>
        <v>0</v>
      </c>
      <c r="N31" s="33">
        <f t="shared" si="34"/>
        <v>0</v>
      </c>
      <c r="O31" s="34">
        <f t="shared" si="11"/>
        <v>0</v>
      </c>
      <c r="P31" s="35" t="s">
        <v>38</v>
      </c>
      <c r="Q31" s="35" t="s">
        <v>38</v>
      </c>
      <c r="R31" s="35" t="s">
        <v>38</v>
      </c>
      <c r="S31" s="35" t="s">
        <v>38</v>
      </c>
      <c r="T31" s="35" t="s">
        <v>11</v>
      </c>
      <c r="U31" s="35" t="s">
        <v>38</v>
      </c>
      <c r="V31" s="35" t="s">
        <v>38</v>
      </c>
      <c r="W31" s="35" t="s">
        <v>38</v>
      </c>
      <c r="X31" s="35"/>
      <c r="Y31" s="35"/>
      <c r="Z31" s="35" t="s">
        <v>38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51">CX31+CZ31+DB31+DD31+DF31+DH31+DJ31+DL31+DN31+DP31+DR31+DT31</f>
        <v>0</v>
      </c>
      <c r="DW31" s="38">
        <f t="shared" si="51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1141719616</v>
      </c>
      <c r="D32" s="28" t="str">
        <f>'BASE DE DATOS'!B33</f>
        <v>Joseph Andrés Mendoza Castañeda</v>
      </c>
      <c r="E32" s="29" t="s">
        <v>46</v>
      </c>
      <c r="F32" s="30" t="str">
        <f t="shared" si="2"/>
        <v>CON FALTAS</v>
      </c>
      <c r="G32" s="41">
        <f t="shared" si="27"/>
        <v>8</v>
      </c>
      <c r="H32" s="42">
        <f t="shared" si="28"/>
        <v>0</v>
      </c>
      <c r="I32" s="42">
        <f t="shared" si="29"/>
        <v>1</v>
      </c>
      <c r="J32" s="42">
        <f t="shared" si="30"/>
        <v>0</v>
      </c>
      <c r="K32" s="42">
        <f t="shared" si="31"/>
        <v>0</v>
      </c>
      <c r="L32" s="42">
        <f t="shared" si="32"/>
        <v>0</v>
      </c>
      <c r="M32" s="32">
        <f t="shared" si="33"/>
        <v>0</v>
      </c>
      <c r="N32" s="33">
        <f t="shared" si="34"/>
        <v>0</v>
      </c>
      <c r="O32" s="34">
        <f t="shared" si="11"/>
        <v>0.1111111111111111</v>
      </c>
      <c r="P32" s="35" t="s">
        <v>38</v>
      </c>
      <c r="Q32" s="35" t="s">
        <v>38</v>
      </c>
      <c r="R32" s="35" t="s">
        <v>38</v>
      </c>
      <c r="S32" s="35" t="s">
        <v>38</v>
      </c>
      <c r="T32" s="35" t="s">
        <v>9</v>
      </c>
      <c r="U32" s="35" t="s">
        <v>9</v>
      </c>
      <c r="V32" s="35" t="s">
        <v>38</v>
      </c>
      <c r="W32" s="35" t="s">
        <v>38</v>
      </c>
      <c r="X32" s="35"/>
      <c r="Y32" s="35"/>
      <c r="Z32" s="35" t="s">
        <v>38</v>
      </c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52">CX32+CZ32+DB32+DD32+DF32+DH32+DJ32+DL32+DN32+DP32+DR32+DT32</f>
        <v>0</v>
      </c>
      <c r="DW32" s="38">
        <f t="shared" si="52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1018445509</v>
      </c>
      <c r="D33" s="28" t="str">
        <f>'BASE DE DATOS'!B34</f>
        <v>Sara Sofia Montaño Milkes</v>
      </c>
      <c r="E33" s="29" t="s">
        <v>46</v>
      </c>
      <c r="F33" s="30" t="str">
        <f t="shared" si="2"/>
        <v/>
      </c>
      <c r="G33" s="41">
        <f t="shared" si="27"/>
        <v>7</v>
      </c>
      <c r="H33" s="42">
        <f t="shared" si="28"/>
        <v>2</v>
      </c>
      <c r="I33" s="42">
        <f t="shared" si="29"/>
        <v>0</v>
      </c>
      <c r="J33" s="42">
        <f t="shared" si="30"/>
        <v>0</v>
      </c>
      <c r="K33" s="42">
        <f t="shared" si="31"/>
        <v>0</v>
      </c>
      <c r="L33" s="42">
        <f t="shared" si="32"/>
        <v>0</v>
      </c>
      <c r="M33" s="32">
        <f t="shared" si="33"/>
        <v>0</v>
      </c>
      <c r="N33" s="33">
        <f t="shared" si="34"/>
        <v>0</v>
      </c>
      <c r="O33" s="34">
        <f t="shared" si="11"/>
        <v>0.22222222222222221</v>
      </c>
      <c r="P33" s="35" t="s">
        <v>38</v>
      </c>
      <c r="Q33" s="35" t="s">
        <v>38</v>
      </c>
      <c r="R33" s="35" t="s">
        <v>38</v>
      </c>
      <c r="S33" s="35" t="s">
        <v>38</v>
      </c>
      <c r="T33" s="35" t="s">
        <v>38</v>
      </c>
      <c r="U33" s="35" t="s">
        <v>38</v>
      </c>
      <c r="V33" s="35" t="s">
        <v>38</v>
      </c>
      <c r="W33" s="35" t="s">
        <v>38</v>
      </c>
      <c r="X33" s="35"/>
      <c r="Y33" s="35"/>
      <c r="Z33" s="35" t="s">
        <v>38</v>
      </c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53">CX33+CZ33+DB33+DD33+DF33+DH33+DJ33+DL33+DN33+DP33+DR33+DT33</f>
        <v>0</v>
      </c>
      <c r="DW33" s="38">
        <f t="shared" si="53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1028869689</v>
      </c>
      <c r="D34" s="28" t="str">
        <f>'BASE DE DATOS'!B35</f>
        <v>Sara Sofía Parra Cubillos</v>
      </c>
      <c r="E34" s="29" t="s">
        <v>46</v>
      </c>
      <c r="F34" s="30" t="str">
        <f t="shared" si="2"/>
        <v/>
      </c>
      <c r="G34" s="41">
        <f t="shared" ref="G34" si="54">COUNTIF(P33:CR33,"A")</f>
        <v>9</v>
      </c>
      <c r="H34" s="42">
        <f t="shared" ref="H34" si="55">COUNTIF(P33:CR33,"CE")</f>
        <v>0</v>
      </c>
      <c r="I34" s="42">
        <f t="shared" ref="I34" si="56">COUNTIF(P33:CR33,"SE")</f>
        <v>0</v>
      </c>
      <c r="J34" s="42">
        <f t="shared" ref="J34" si="57">COUNTIF(P33:CR33,"INC")</f>
        <v>0</v>
      </c>
      <c r="K34" s="42">
        <f t="shared" ref="K34" si="58">COUNTIF(P33:CR33,"LIC")</f>
        <v>0</v>
      </c>
      <c r="L34" s="42">
        <f t="shared" ref="L34" si="59">COUNTIF(P33:CR33,"CLM")</f>
        <v>0</v>
      </c>
      <c r="M34" s="32">
        <f t="shared" ref="M34" si="60">COUNTIF(P33:IA33,"SFF")</f>
        <v>0</v>
      </c>
      <c r="N34" s="33">
        <f t="shared" ref="N34" si="61">COUNTIF(P33:CR33,"RET")</f>
        <v>0</v>
      </c>
      <c r="O34" s="34">
        <f t="shared" si="11"/>
        <v>0</v>
      </c>
      <c r="P34" s="35" t="s">
        <v>38</v>
      </c>
      <c r="Q34" s="35" t="s">
        <v>38</v>
      </c>
      <c r="R34" s="35" t="s">
        <v>38</v>
      </c>
      <c r="S34" s="35" t="s">
        <v>38</v>
      </c>
      <c r="T34" s="35" t="s">
        <v>38</v>
      </c>
      <c r="U34" s="35" t="s">
        <v>38</v>
      </c>
      <c r="V34" s="35" t="s">
        <v>11</v>
      </c>
      <c r="W34" s="35" t="s">
        <v>38</v>
      </c>
      <c r="X34" s="35"/>
      <c r="Y34" s="35"/>
      <c r="Z34" s="35" t="s">
        <v>38</v>
      </c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62">CX34+CZ34+DB34+DD34+DF34+DH34+DJ34+DL34+DN34+DP34+DR34+DT34</f>
        <v>0</v>
      </c>
      <c r="DW34" s="38">
        <f t="shared" si="62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8164836</v>
      </c>
      <c r="D35" s="28" t="str">
        <f>'BASE DE DATOS'!B36</f>
        <v>Maikelys Alexandra Pereira Ávila</v>
      </c>
      <c r="E35" s="29" t="s">
        <v>46</v>
      </c>
      <c r="F35" s="30" t="str">
        <f t="shared" si="2"/>
        <v>CON FALTAS</v>
      </c>
      <c r="G35" s="41">
        <f t="shared" si="27"/>
        <v>8</v>
      </c>
      <c r="H35" s="42">
        <f t="shared" si="28"/>
        <v>0</v>
      </c>
      <c r="I35" s="42">
        <f t="shared" si="29"/>
        <v>1</v>
      </c>
      <c r="J35" s="42">
        <f t="shared" si="30"/>
        <v>0</v>
      </c>
      <c r="K35" s="42">
        <f t="shared" si="31"/>
        <v>0</v>
      </c>
      <c r="L35" s="42">
        <f t="shared" si="32"/>
        <v>0</v>
      </c>
      <c r="M35" s="32">
        <f t="shared" si="33"/>
        <v>0</v>
      </c>
      <c r="N35" s="33">
        <f t="shared" si="34"/>
        <v>0</v>
      </c>
      <c r="O35" s="34">
        <f t="shared" si="11"/>
        <v>0.1111111111111111</v>
      </c>
      <c r="P35" s="35" t="s">
        <v>38</v>
      </c>
      <c r="Q35" s="35" t="s">
        <v>38</v>
      </c>
      <c r="R35" s="35" t="s">
        <v>38</v>
      </c>
      <c r="S35" s="35" t="s">
        <v>38</v>
      </c>
      <c r="T35" s="35" t="s">
        <v>38</v>
      </c>
      <c r="U35" s="35" t="s">
        <v>38</v>
      </c>
      <c r="V35" s="35" t="s">
        <v>38</v>
      </c>
      <c r="W35" s="35" t="s">
        <v>38</v>
      </c>
      <c r="X35" s="35"/>
      <c r="Y35" s="35"/>
      <c r="Z35" s="35" t="s">
        <v>38</v>
      </c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63">CX35+CZ35+DB35+DD35+DF35+DH35+DJ35+DL35+DN35+DP35+DR35+DT35</f>
        <v>0</v>
      </c>
      <c r="DW35" s="38">
        <f t="shared" si="63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1142114341</v>
      </c>
      <c r="D36" s="28" t="str">
        <f>'BASE DE DATOS'!B37</f>
        <v>Alejandro Quintero Ramírez</v>
      </c>
      <c r="E36" s="29" t="s">
        <v>46</v>
      </c>
      <c r="F36" s="30" t="str">
        <f t="shared" si="2"/>
        <v/>
      </c>
      <c r="G36" s="41">
        <f t="shared" si="27"/>
        <v>9</v>
      </c>
      <c r="H36" s="42">
        <f t="shared" si="28"/>
        <v>0</v>
      </c>
      <c r="I36" s="42">
        <f t="shared" si="29"/>
        <v>0</v>
      </c>
      <c r="J36" s="42">
        <f t="shared" si="30"/>
        <v>0</v>
      </c>
      <c r="K36" s="42">
        <f t="shared" si="31"/>
        <v>0</v>
      </c>
      <c r="L36" s="42">
        <f t="shared" si="32"/>
        <v>0</v>
      </c>
      <c r="M36" s="32">
        <f t="shared" si="33"/>
        <v>0</v>
      </c>
      <c r="N36" s="33">
        <f t="shared" si="34"/>
        <v>0</v>
      </c>
      <c r="O36" s="34">
        <f t="shared" si="11"/>
        <v>0</v>
      </c>
      <c r="P36" s="35" t="s">
        <v>11</v>
      </c>
      <c r="Q36" s="35" t="s">
        <v>38</v>
      </c>
      <c r="R36" s="35" t="s">
        <v>38</v>
      </c>
      <c r="S36" s="35" t="s">
        <v>38</v>
      </c>
      <c r="T36" s="35" t="s">
        <v>38</v>
      </c>
      <c r="U36" s="35" t="s">
        <v>38</v>
      </c>
      <c r="V36" s="35" t="s">
        <v>38</v>
      </c>
      <c r="W36" s="35" t="s">
        <v>38</v>
      </c>
      <c r="X36" s="35"/>
      <c r="Y36" s="35"/>
      <c r="Z36" s="35" t="s">
        <v>11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64">CX36+CZ36+DB36+DD36+DF36+DH36+DJ36+DL36+DN36+DP36+DR36+DT36</f>
        <v>0</v>
      </c>
      <c r="DW36" s="38">
        <f t="shared" si="64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1141122926</v>
      </c>
      <c r="D37" s="28" t="str">
        <f>'BASE DE DATOS'!B38</f>
        <v>Ana Sofia Rodríguez Bernal</v>
      </c>
      <c r="E37" s="29" t="s">
        <v>46</v>
      </c>
      <c r="F37" s="30" t="str">
        <f t="shared" si="2"/>
        <v>CON FALTAS</v>
      </c>
      <c r="G37" s="41">
        <f t="shared" si="27"/>
        <v>7</v>
      </c>
      <c r="H37" s="42">
        <f t="shared" si="28"/>
        <v>0</v>
      </c>
      <c r="I37" s="42">
        <f t="shared" si="29"/>
        <v>2</v>
      </c>
      <c r="J37" s="42">
        <f t="shared" si="30"/>
        <v>0</v>
      </c>
      <c r="K37" s="42">
        <f t="shared" si="31"/>
        <v>0</v>
      </c>
      <c r="L37" s="42">
        <f t="shared" si="32"/>
        <v>0</v>
      </c>
      <c r="M37" s="32">
        <f t="shared" si="33"/>
        <v>0</v>
      </c>
      <c r="N37" s="33">
        <f t="shared" si="34"/>
        <v>0</v>
      </c>
      <c r="O37" s="34">
        <f t="shared" si="11"/>
        <v>0.22222222222222221</v>
      </c>
      <c r="P37" s="35" t="s">
        <v>38</v>
      </c>
      <c r="Q37" s="35" t="s">
        <v>38</v>
      </c>
      <c r="R37" s="35" t="s">
        <v>38</v>
      </c>
      <c r="S37" s="35" t="s">
        <v>38</v>
      </c>
      <c r="T37" s="35" t="s">
        <v>38</v>
      </c>
      <c r="U37" s="35" t="s">
        <v>38</v>
      </c>
      <c r="V37" s="35" t="s">
        <v>9</v>
      </c>
      <c r="W37" s="35" t="s">
        <v>38</v>
      </c>
      <c r="X37" s="35"/>
      <c r="Y37" s="35"/>
      <c r="Z37" s="35" t="s">
        <v>38</v>
      </c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65">CX37+CZ37+DB37+DD37+DF37+DH37+DJ37+DL37+DN37+DP37+DR37+DT37</f>
        <v>0</v>
      </c>
      <c r="DW37" s="38">
        <f t="shared" si="65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1016956929</v>
      </c>
      <c r="D38" s="28" t="str">
        <f>'BASE DE DATOS'!B39</f>
        <v>Miguel Ángel Romero Alonso</v>
      </c>
      <c r="E38" s="29" t="s">
        <v>46</v>
      </c>
      <c r="F38" s="30" t="str">
        <f t="shared" si="2"/>
        <v/>
      </c>
      <c r="G38" s="41">
        <f t="shared" si="27"/>
        <v>8</v>
      </c>
      <c r="H38" s="42">
        <f t="shared" si="28"/>
        <v>1</v>
      </c>
      <c r="I38" s="42">
        <f t="shared" si="29"/>
        <v>0</v>
      </c>
      <c r="J38" s="42">
        <f t="shared" si="30"/>
        <v>0</v>
      </c>
      <c r="K38" s="42">
        <f t="shared" si="31"/>
        <v>0</v>
      </c>
      <c r="L38" s="42">
        <f t="shared" si="32"/>
        <v>0</v>
      </c>
      <c r="M38" s="32">
        <f t="shared" si="33"/>
        <v>0</v>
      </c>
      <c r="N38" s="33">
        <f t="shared" si="34"/>
        <v>0</v>
      </c>
      <c r="O38" s="34">
        <f t="shared" si="11"/>
        <v>0.1111111111111111</v>
      </c>
      <c r="P38" s="35" t="s">
        <v>38</v>
      </c>
      <c r="Q38" s="35" t="s">
        <v>38</v>
      </c>
      <c r="R38" s="35" t="s">
        <v>38</v>
      </c>
      <c r="S38" s="35" t="s">
        <v>38</v>
      </c>
      <c r="T38" s="35" t="s">
        <v>38</v>
      </c>
      <c r="U38" s="35" t="s">
        <v>38</v>
      </c>
      <c r="V38" s="35" t="s">
        <v>38</v>
      </c>
      <c r="W38" s="35" t="s">
        <v>38</v>
      </c>
      <c r="X38" s="35"/>
      <c r="Y38" s="35"/>
      <c r="Z38" s="35" t="s">
        <v>38</v>
      </c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1033749474</v>
      </c>
      <c r="D39" s="28" t="str">
        <f>'BASE DE DATOS'!B40</f>
        <v>Esteban Alejandro Suárez Barros</v>
      </c>
      <c r="E39" s="29" t="s">
        <v>46</v>
      </c>
      <c r="F39" s="30" t="str">
        <f t="shared" si="2"/>
        <v/>
      </c>
      <c r="G39" s="41">
        <f t="shared" si="27"/>
        <v>9</v>
      </c>
      <c r="H39" s="42">
        <f t="shared" si="28"/>
        <v>0</v>
      </c>
      <c r="I39" s="42">
        <f t="shared" si="29"/>
        <v>0</v>
      </c>
      <c r="J39" s="42">
        <f t="shared" si="30"/>
        <v>0</v>
      </c>
      <c r="K39" s="42">
        <f t="shared" si="31"/>
        <v>0</v>
      </c>
      <c r="L39" s="42">
        <f t="shared" si="32"/>
        <v>0</v>
      </c>
      <c r="M39" s="32">
        <f t="shared" si="33"/>
        <v>0</v>
      </c>
      <c r="N39" s="33">
        <f t="shared" si="34"/>
        <v>0</v>
      </c>
      <c r="O39" s="34">
        <f t="shared" si="11"/>
        <v>0</v>
      </c>
      <c r="P39" s="35" t="s">
        <v>38</v>
      </c>
      <c r="Q39" s="35" t="s">
        <v>38</v>
      </c>
      <c r="R39" s="35" t="s">
        <v>38</v>
      </c>
      <c r="S39" s="35" t="s">
        <v>38</v>
      </c>
      <c r="T39" s="35" t="s">
        <v>38</v>
      </c>
      <c r="U39" s="35" t="s">
        <v>38</v>
      </c>
      <c r="V39" s="35" t="s">
        <v>38</v>
      </c>
      <c r="W39" s="35" t="s">
        <v>38</v>
      </c>
      <c r="X39" s="35"/>
      <c r="Y39" s="35"/>
      <c r="Z39" s="35" t="s">
        <v>38</v>
      </c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>
        <f t="shared" ref="DV39:DW39" si="67">CX39+CZ39+DB39+DD39+DF39+DH39+DJ39+DL39+DN39+DP39+DR39+DT39</f>
        <v>0</v>
      </c>
      <c r="DW39" s="38">
        <f t="shared" si="67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1031817514</v>
      </c>
      <c r="D40" s="28" t="str">
        <f>'BASE DE DATOS'!B41</f>
        <v>Leidy Katherin Suarez Hernández</v>
      </c>
      <c r="E40" s="29" t="s">
        <v>46</v>
      </c>
      <c r="F40" s="30" t="str">
        <f t="shared" si="2"/>
        <v/>
      </c>
      <c r="G40" s="41">
        <f t="shared" si="27"/>
        <v>9</v>
      </c>
      <c r="H40" s="42">
        <f t="shared" si="28"/>
        <v>0</v>
      </c>
      <c r="I40" s="42">
        <f t="shared" si="29"/>
        <v>0</v>
      </c>
      <c r="J40" s="42">
        <f t="shared" si="30"/>
        <v>0</v>
      </c>
      <c r="K40" s="42">
        <f t="shared" si="31"/>
        <v>0</v>
      </c>
      <c r="L40" s="42">
        <f t="shared" si="32"/>
        <v>0</v>
      </c>
      <c r="M40" s="32">
        <f t="shared" si="33"/>
        <v>0</v>
      </c>
      <c r="N40" s="33">
        <f t="shared" si="34"/>
        <v>0</v>
      </c>
      <c r="O40" s="34">
        <f t="shared" si="11"/>
        <v>0</v>
      </c>
      <c r="P40" s="35" t="s">
        <v>38</v>
      </c>
      <c r="Q40" s="35" t="s">
        <v>38</v>
      </c>
      <c r="R40" s="35" t="s">
        <v>38</v>
      </c>
      <c r="S40" s="35" t="s">
        <v>38</v>
      </c>
      <c r="T40" s="35" t="s">
        <v>38</v>
      </c>
      <c r="U40" s="35" t="s">
        <v>38</v>
      </c>
      <c r="V40" s="35" t="s">
        <v>38</v>
      </c>
      <c r="W40" s="35" t="s">
        <v>11</v>
      </c>
      <c r="X40" s="35"/>
      <c r="Y40" s="35"/>
      <c r="Z40" s="35" t="s">
        <v>38</v>
      </c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>
        <f t="shared" ref="DV40:DW40" si="68">CX40+CZ40+DB40+DD40+DF40+DH40+DJ40+DL40+DN40+DP40+DR40+DT40</f>
        <v>0</v>
      </c>
      <c r="DW40" s="38">
        <f t="shared" si="68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1033105704</v>
      </c>
      <c r="D41" s="28" t="str">
        <f>'BASE DE DATOS'!B42</f>
        <v>Samuel Urresty Muñoz</v>
      </c>
      <c r="E41" s="29" t="s">
        <v>46</v>
      </c>
      <c r="F41" s="30" t="str">
        <f t="shared" si="2"/>
        <v>CON FALTAS</v>
      </c>
      <c r="G41" s="41">
        <f t="shared" si="27"/>
        <v>8</v>
      </c>
      <c r="H41" s="42">
        <f t="shared" si="28"/>
        <v>0</v>
      </c>
      <c r="I41" s="42">
        <f t="shared" si="29"/>
        <v>1</v>
      </c>
      <c r="J41" s="42">
        <f t="shared" si="30"/>
        <v>0</v>
      </c>
      <c r="K41" s="42">
        <f t="shared" si="31"/>
        <v>0</v>
      </c>
      <c r="L41" s="42">
        <f t="shared" si="32"/>
        <v>0</v>
      </c>
      <c r="M41" s="32">
        <f t="shared" si="33"/>
        <v>0</v>
      </c>
      <c r="N41" s="33">
        <f t="shared" si="34"/>
        <v>0</v>
      </c>
      <c r="O41" s="34">
        <f t="shared" si="11"/>
        <v>0.1111111111111111</v>
      </c>
      <c r="P41" s="35" t="s">
        <v>38</v>
      </c>
      <c r="Q41" s="35" t="s">
        <v>38</v>
      </c>
      <c r="R41" s="35" t="s">
        <v>38</v>
      </c>
      <c r="S41" s="35" t="s">
        <v>9</v>
      </c>
      <c r="T41" s="35" t="s">
        <v>38</v>
      </c>
      <c r="U41" s="35" t="s">
        <v>38</v>
      </c>
      <c r="V41" s="35" t="s">
        <v>11</v>
      </c>
      <c r="W41" s="35" t="s">
        <v>38</v>
      </c>
      <c r="X41" s="35"/>
      <c r="Y41" s="35"/>
      <c r="Z41" s="35" t="s">
        <v>38</v>
      </c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>
        <f t="shared" ref="DV41:DW41" si="69">CX41+CZ41+DB41+DD41+DF41+DH41+DJ41+DL41+DN41+DP41+DR41+DT41</f>
        <v>0</v>
      </c>
      <c r="DW41" s="38">
        <f t="shared" si="69"/>
        <v>0</v>
      </c>
    </row>
    <row r="42" spans="1:127" ht="15.75" customHeight="1">
      <c r="A42" s="40">
        <f t="shared" si="13"/>
        <v>34</v>
      </c>
      <c r="B42" s="26" t="str">
        <f>'BASE DE DATOS'!C43</f>
        <v>PPT</v>
      </c>
      <c r="C42" s="27">
        <f>'BASE DE DATOS'!D43</f>
        <v>7938528</v>
      </c>
      <c r="D42" s="28" t="str">
        <f>'BASE DE DATOS'!B43</f>
        <v>Camila Antonella Vargas Gil</v>
      </c>
      <c r="E42" s="29" t="s">
        <v>46</v>
      </c>
      <c r="F42" s="30" t="str">
        <f t="shared" si="2"/>
        <v>CON FALTAS</v>
      </c>
      <c r="G42" s="41">
        <f t="shared" si="27"/>
        <v>7</v>
      </c>
      <c r="H42" s="42">
        <f t="shared" si="28"/>
        <v>1</v>
      </c>
      <c r="I42" s="42">
        <f t="shared" si="29"/>
        <v>1</v>
      </c>
      <c r="J42" s="42">
        <f t="shared" si="30"/>
        <v>0</v>
      </c>
      <c r="K42" s="42">
        <f t="shared" si="31"/>
        <v>0</v>
      </c>
      <c r="L42" s="42">
        <f t="shared" si="32"/>
        <v>0</v>
      </c>
      <c r="M42" s="32">
        <f t="shared" si="33"/>
        <v>0</v>
      </c>
      <c r="N42" s="33">
        <f t="shared" si="34"/>
        <v>0</v>
      </c>
      <c r="O42" s="34">
        <f t="shared" si="11"/>
        <v>0.22222222222222221</v>
      </c>
      <c r="P42" s="35" t="s">
        <v>38</v>
      </c>
      <c r="Q42" s="35" t="s">
        <v>38</v>
      </c>
      <c r="R42" s="35" t="s">
        <v>38</v>
      </c>
      <c r="S42" s="35" t="s">
        <v>38</v>
      </c>
      <c r="T42" s="35" t="s">
        <v>38</v>
      </c>
      <c r="U42" s="35" t="s">
        <v>38</v>
      </c>
      <c r="V42" s="35" t="s">
        <v>38</v>
      </c>
      <c r="W42" s="35" t="s">
        <v>38</v>
      </c>
      <c r="X42" s="35"/>
      <c r="Y42" s="35"/>
      <c r="Z42" s="35" t="s">
        <v>38</v>
      </c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>
        <f t="shared" ref="DV42:DW42" si="70">CX42+CZ42+DB42+DD42+DF42+DH42+DJ42+DL42+DN42+DP42+DR42+DT42</f>
        <v>0</v>
      </c>
      <c r="DW42" s="38">
        <f t="shared" si="70"/>
        <v>0</v>
      </c>
    </row>
    <row r="43" spans="1:127" ht="15.75" customHeight="1">
      <c r="A43" s="40">
        <f t="shared" si="13"/>
        <v>35</v>
      </c>
      <c r="B43" s="26" t="str">
        <f>'BASE DE DATOS'!C44</f>
        <v>TI</v>
      </c>
      <c r="C43" s="27">
        <f>'BASE DE DATOS'!D44</f>
        <v>1019998705</v>
      </c>
      <c r="D43" s="28" t="str">
        <f>'BASE DE DATOS'!B44</f>
        <v>Miguel Ángel Zorro Ayala</v>
      </c>
      <c r="E43" s="29" t="s">
        <v>46</v>
      </c>
      <c r="F43" s="30" t="str">
        <f t="shared" si="2"/>
        <v/>
      </c>
      <c r="G43" s="41">
        <f t="shared" si="27"/>
        <v>9</v>
      </c>
      <c r="H43" s="42">
        <f t="shared" si="28"/>
        <v>0</v>
      </c>
      <c r="I43" s="42">
        <f t="shared" si="29"/>
        <v>0</v>
      </c>
      <c r="J43" s="42">
        <f t="shared" si="30"/>
        <v>0</v>
      </c>
      <c r="K43" s="42">
        <f t="shared" si="31"/>
        <v>0</v>
      </c>
      <c r="L43" s="42">
        <f t="shared" si="32"/>
        <v>0</v>
      </c>
      <c r="M43" s="32">
        <f t="shared" si="33"/>
        <v>0</v>
      </c>
      <c r="N43" s="33">
        <f t="shared" si="34"/>
        <v>0</v>
      </c>
      <c r="O43" s="34">
        <f t="shared" si="11"/>
        <v>0</v>
      </c>
      <c r="P43" s="35" t="s">
        <v>38</v>
      </c>
      <c r="Q43" s="35" t="s">
        <v>38</v>
      </c>
      <c r="R43" s="35" t="s">
        <v>38</v>
      </c>
      <c r="S43" s="35" t="s">
        <v>38</v>
      </c>
      <c r="T43" s="35" t="s">
        <v>38</v>
      </c>
      <c r="U43" s="35" t="s">
        <v>38</v>
      </c>
      <c r="V43" s="35" t="s">
        <v>38</v>
      </c>
      <c r="W43" s="35" t="s">
        <v>38</v>
      </c>
      <c r="X43" s="35"/>
      <c r="Y43" s="35"/>
      <c r="Z43" s="35" t="s">
        <v>38</v>
      </c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>
      <c r="A44" s="73"/>
      <c r="B44" s="74"/>
      <c r="C44" s="75"/>
      <c r="D44" s="75"/>
      <c r="E44" s="75"/>
      <c r="F44" s="74"/>
      <c r="G44" s="205" t="s">
        <v>59</v>
      </c>
      <c r="H44" s="166"/>
      <c r="I44" s="166"/>
      <c r="J44" s="166"/>
      <c r="K44" s="166"/>
      <c r="L44" s="166"/>
      <c r="M44" s="167"/>
      <c r="N44" s="168" t="str">
        <f>G8</f>
        <v>A</v>
      </c>
      <c r="O44" s="169"/>
      <c r="P44" s="43">
        <f>COUNTIF(P9:P43,"A")</f>
        <v>33</v>
      </c>
      <c r="Q44" s="43">
        <f>COUNTIF(Q9:Q43,"A")</f>
        <v>35</v>
      </c>
      <c r="R44" s="43">
        <f>COUNTIF(R9:R43,"A")</f>
        <v>35</v>
      </c>
      <c r="S44" s="43">
        <f t="shared" ref="S44:AX44" si="71">COUNTIF(S9:S42,"A")</f>
        <v>29</v>
      </c>
      <c r="T44" s="43">
        <f t="shared" si="71"/>
        <v>31</v>
      </c>
      <c r="U44" s="43">
        <f t="shared" si="71"/>
        <v>32</v>
      </c>
      <c r="V44" s="43">
        <f t="shared" si="71"/>
        <v>29</v>
      </c>
      <c r="W44" s="43">
        <f t="shared" si="71"/>
        <v>30</v>
      </c>
      <c r="X44" s="43">
        <f t="shared" si="71"/>
        <v>0</v>
      </c>
      <c r="Y44" s="43">
        <f t="shared" si="71"/>
        <v>0</v>
      </c>
      <c r="Z44" s="43">
        <f t="shared" si="71"/>
        <v>29</v>
      </c>
      <c r="AA44" s="43">
        <f t="shared" si="71"/>
        <v>0</v>
      </c>
      <c r="AB44" s="43">
        <f t="shared" si="71"/>
        <v>0</v>
      </c>
      <c r="AC44" s="43">
        <f t="shared" si="71"/>
        <v>0</v>
      </c>
      <c r="AD44" s="43">
        <f t="shared" si="71"/>
        <v>0</v>
      </c>
      <c r="AE44" s="43">
        <f t="shared" si="71"/>
        <v>0</v>
      </c>
      <c r="AF44" s="43">
        <f t="shared" si="71"/>
        <v>0</v>
      </c>
      <c r="AG44" s="43">
        <f t="shared" si="71"/>
        <v>0</v>
      </c>
      <c r="AH44" s="43">
        <f t="shared" si="71"/>
        <v>0</v>
      </c>
      <c r="AI44" s="43">
        <f t="shared" si="71"/>
        <v>0</v>
      </c>
      <c r="AJ44" s="43">
        <f t="shared" si="71"/>
        <v>0</v>
      </c>
      <c r="AK44" s="43">
        <f t="shared" si="71"/>
        <v>0</v>
      </c>
      <c r="AL44" s="43">
        <f t="shared" si="71"/>
        <v>0</v>
      </c>
      <c r="AM44" s="43">
        <f t="shared" si="71"/>
        <v>0</v>
      </c>
      <c r="AN44" s="43">
        <f t="shared" si="71"/>
        <v>0</v>
      </c>
      <c r="AO44" s="43">
        <f t="shared" si="71"/>
        <v>0</v>
      </c>
      <c r="AP44" s="43">
        <f t="shared" si="71"/>
        <v>0</v>
      </c>
      <c r="AQ44" s="43">
        <f t="shared" si="71"/>
        <v>0</v>
      </c>
      <c r="AR44" s="43">
        <f t="shared" si="71"/>
        <v>0</v>
      </c>
      <c r="AS44" s="43">
        <f t="shared" si="71"/>
        <v>0</v>
      </c>
      <c r="AT44" s="43">
        <f t="shared" si="71"/>
        <v>0</v>
      </c>
      <c r="AU44" s="43">
        <f t="shared" si="71"/>
        <v>0</v>
      </c>
      <c r="AV44" s="43">
        <f t="shared" si="71"/>
        <v>0</v>
      </c>
      <c r="AW44" s="43">
        <f t="shared" si="71"/>
        <v>0</v>
      </c>
      <c r="AX44" s="43">
        <f t="shared" si="71"/>
        <v>0</v>
      </c>
      <c r="AY44" s="43">
        <f t="shared" ref="AY44:CD44" si="72">COUNTIF(AY9:AY42,"A")</f>
        <v>0</v>
      </c>
      <c r="AZ44" s="43">
        <f t="shared" si="72"/>
        <v>0</v>
      </c>
      <c r="BA44" s="43">
        <f t="shared" si="72"/>
        <v>0</v>
      </c>
      <c r="BB44" s="43">
        <f t="shared" si="72"/>
        <v>0</v>
      </c>
      <c r="BC44" s="43">
        <f t="shared" si="72"/>
        <v>0</v>
      </c>
      <c r="BD44" s="43">
        <f t="shared" si="72"/>
        <v>0</v>
      </c>
      <c r="BE44" s="43">
        <f t="shared" si="72"/>
        <v>0</v>
      </c>
      <c r="BF44" s="43">
        <f t="shared" si="72"/>
        <v>0</v>
      </c>
      <c r="BG44" s="43">
        <f t="shared" si="72"/>
        <v>0</v>
      </c>
      <c r="BH44" s="43">
        <f t="shared" si="72"/>
        <v>0</v>
      </c>
      <c r="BI44" s="43">
        <f t="shared" si="72"/>
        <v>0</v>
      </c>
      <c r="BJ44" s="43">
        <f t="shared" si="72"/>
        <v>0</v>
      </c>
      <c r="BK44" s="43">
        <f t="shared" si="72"/>
        <v>0</v>
      </c>
      <c r="BL44" s="43">
        <f t="shared" si="72"/>
        <v>0</v>
      </c>
      <c r="BM44" s="43">
        <f t="shared" si="72"/>
        <v>0</v>
      </c>
      <c r="BN44" s="43">
        <f t="shared" si="72"/>
        <v>0</v>
      </c>
      <c r="BO44" s="43">
        <f t="shared" si="72"/>
        <v>0</v>
      </c>
      <c r="BP44" s="43">
        <f t="shared" si="72"/>
        <v>0</v>
      </c>
      <c r="BQ44" s="43">
        <f t="shared" si="72"/>
        <v>0</v>
      </c>
      <c r="BR44" s="43">
        <f t="shared" si="72"/>
        <v>0</v>
      </c>
      <c r="BS44" s="43">
        <f t="shared" si="72"/>
        <v>0</v>
      </c>
      <c r="BT44" s="43">
        <f t="shared" si="72"/>
        <v>0</v>
      </c>
      <c r="BU44" s="43">
        <f t="shared" si="72"/>
        <v>0</v>
      </c>
      <c r="BV44" s="43">
        <f t="shared" si="72"/>
        <v>0</v>
      </c>
      <c r="BW44" s="43">
        <f t="shared" si="72"/>
        <v>0</v>
      </c>
      <c r="BX44" s="43">
        <f t="shared" si="72"/>
        <v>0</v>
      </c>
      <c r="BY44" s="43">
        <f t="shared" si="72"/>
        <v>0</v>
      </c>
      <c r="BZ44" s="43">
        <f t="shared" si="72"/>
        <v>0</v>
      </c>
      <c r="CA44" s="43">
        <f t="shared" si="72"/>
        <v>0</v>
      </c>
      <c r="CB44" s="43">
        <f t="shared" si="72"/>
        <v>0</v>
      </c>
      <c r="CC44" s="43">
        <f t="shared" si="72"/>
        <v>0</v>
      </c>
      <c r="CD44" s="43">
        <f t="shared" si="72"/>
        <v>0</v>
      </c>
      <c r="CE44" s="43">
        <f t="shared" ref="CE44:CW44" si="73">COUNTIF(CE9:CE42,"A")</f>
        <v>0</v>
      </c>
      <c r="CF44" s="43">
        <f t="shared" si="73"/>
        <v>0</v>
      </c>
      <c r="CG44" s="43">
        <f t="shared" si="73"/>
        <v>0</v>
      </c>
      <c r="CH44" s="43">
        <f t="shared" si="73"/>
        <v>0</v>
      </c>
      <c r="CI44" s="43">
        <f t="shared" si="73"/>
        <v>0</v>
      </c>
      <c r="CJ44" s="43">
        <f t="shared" si="73"/>
        <v>0</v>
      </c>
      <c r="CK44" s="43">
        <f t="shared" si="73"/>
        <v>0</v>
      </c>
      <c r="CL44" s="43">
        <f t="shared" si="73"/>
        <v>0</v>
      </c>
      <c r="CM44" s="43">
        <f t="shared" si="73"/>
        <v>0</v>
      </c>
      <c r="CN44" s="43">
        <f t="shared" si="73"/>
        <v>0</v>
      </c>
      <c r="CO44" s="43">
        <f t="shared" si="73"/>
        <v>0</v>
      </c>
      <c r="CP44" s="43">
        <f t="shared" si="73"/>
        <v>0</v>
      </c>
      <c r="CQ44" s="43">
        <f t="shared" si="73"/>
        <v>0</v>
      </c>
      <c r="CR44" s="43">
        <f t="shared" si="73"/>
        <v>0</v>
      </c>
      <c r="CS44" s="43">
        <f t="shared" si="73"/>
        <v>0</v>
      </c>
      <c r="CT44" s="43">
        <f t="shared" si="73"/>
        <v>0</v>
      </c>
      <c r="CU44" s="43">
        <f t="shared" si="73"/>
        <v>0</v>
      </c>
      <c r="CV44" s="43">
        <f t="shared" si="73"/>
        <v>0</v>
      </c>
      <c r="CW44" s="43">
        <f t="shared" si="73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74">CX44+CZ44+DB44+DD44+DF44+DH44+DJ44+DL44+DN44+DP44+DR44+DT44</f>
        <v>0</v>
      </c>
      <c r="DW44" s="38">
        <f t="shared" si="74"/>
        <v>0</v>
      </c>
    </row>
    <row r="45" spans="1:127" ht="15.75" customHeight="1">
      <c r="A45" s="73"/>
      <c r="B45" s="74"/>
      <c r="C45" s="75"/>
      <c r="D45" s="75"/>
      <c r="E45" s="75"/>
      <c r="F45" s="74"/>
      <c r="G45" s="175" t="s">
        <v>10</v>
      </c>
      <c r="H45" s="166"/>
      <c r="I45" s="166"/>
      <c r="J45" s="166"/>
      <c r="K45" s="166"/>
      <c r="L45" s="166"/>
      <c r="M45" s="167"/>
      <c r="N45" s="168" t="str">
        <f>H8</f>
        <v>CE</v>
      </c>
      <c r="O45" s="169"/>
      <c r="P45" s="43">
        <f>COUNTIF(P9:P43,"CE")</f>
        <v>0</v>
      </c>
      <c r="Q45" s="43">
        <f>COUNTIF(Q9:Q43,"CE")</f>
        <v>0</v>
      </c>
      <c r="R45" s="43">
        <f>COUNTIF(R9:R43,"CE")</f>
        <v>0</v>
      </c>
      <c r="S45" s="43">
        <f t="shared" ref="S45:AX45" si="75">COUNTIF(S9:S42,"CE")</f>
        <v>2</v>
      </c>
      <c r="T45" s="43">
        <f t="shared" si="75"/>
        <v>1</v>
      </c>
      <c r="U45" s="43">
        <f t="shared" si="75"/>
        <v>2</v>
      </c>
      <c r="V45" s="43">
        <f t="shared" si="75"/>
        <v>1</v>
      </c>
      <c r="W45" s="43">
        <f t="shared" si="75"/>
        <v>0</v>
      </c>
      <c r="X45" s="43">
        <f t="shared" si="75"/>
        <v>0</v>
      </c>
      <c r="Y45" s="43">
        <f t="shared" si="75"/>
        <v>0</v>
      </c>
      <c r="Z45" s="43">
        <f t="shared" si="75"/>
        <v>0</v>
      </c>
      <c r="AA45" s="43">
        <f t="shared" si="75"/>
        <v>0</v>
      </c>
      <c r="AB45" s="43">
        <f t="shared" si="75"/>
        <v>0</v>
      </c>
      <c r="AC45" s="43">
        <f t="shared" si="75"/>
        <v>0</v>
      </c>
      <c r="AD45" s="43">
        <f t="shared" si="75"/>
        <v>0</v>
      </c>
      <c r="AE45" s="43">
        <f t="shared" si="75"/>
        <v>0</v>
      </c>
      <c r="AF45" s="43">
        <f t="shared" si="75"/>
        <v>0</v>
      </c>
      <c r="AG45" s="43">
        <f t="shared" si="75"/>
        <v>0</v>
      </c>
      <c r="AH45" s="43">
        <f t="shared" si="75"/>
        <v>0</v>
      </c>
      <c r="AI45" s="43">
        <f t="shared" si="75"/>
        <v>0</v>
      </c>
      <c r="AJ45" s="43">
        <f t="shared" si="75"/>
        <v>0</v>
      </c>
      <c r="AK45" s="43">
        <f t="shared" si="75"/>
        <v>0</v>
      </c>
      <c r="AL45" s="43">
        <f t="shared" si="75"/>
        <v>0</v>
      </c>
      <c r="AM45" s="43">
        <f t="shared" si="75"/>
        <v>0</v>
      </c>
      <c r="AN45" s="43">
        <f t="shared" si="75"/>
        <v>0</v>
      </c>
      <c r="AO45" s="43">
        <f t="shared" si="75"/>
        <v>0</v>
      </c>
      <c r="AP45" s="43">
        <f t="shared" si="75"/>
        <v>0</v>
      </c>
      <c r="AQ45" s="43">
        <f t="shared" si="75"/>
        <v>0</v>
      </c>
      <c r="AR45" s="43">
        <f t="shared" si="75"/>
        <v>0</v>
      </c>
      <c r="AS45" s="43">
        <f t="shared" si="75"/>
        <v>0</v>
      </c>
      <c r="AT45" s="43">
        <f t="shared" si="75"/>
        <v>0</v>
      </c>
      <c r="AU45" s="43">
        <f t="shared" si="75"/>
        <v>0</v>
      </c>
      <c r="AV45" s="43">
        <f t="shared" si="75"/>
        <v>0</v>
      </c>
      <c r="AW45" s="43">
        <f t="shared" si="75"/>
        <v>0</v>
      </c>
      <c r="AX45" s="43">
        <f t="shared" si="75"/>
        <v>0</v>
      </c>
      <c r="AY45" s="43">
        <f t="shared" ref="AY45:CD45" si="76">COUNTIF(AY9:AY42,"CE")</f>
        <v>0</v>
      </c>
      <c r="AZ45" s="43">
        <f t="shared" si="76"/>
        <v>0</v>
      </c>
      <c r="BA45" s="43">
        <f t="shared" si="76"/>
        <v>0</v>
      </c>
      <c r="BB45" s="43">
        <f t="shared" si="76"/>
        <v>0</v>
      </c>
      <c r="BC45" s="43">
        <f t="shared" si="76"/>
        <v>0</v>
      </c>
      <c r="BD45" s="43">
        <f t="shared" si="76"/>
        <v>0</v>
      </c>
      <c r="BE45" s="43">
        <f t="shared" si="76"/>
        <v>0</v>
      </c>
      <c r="BF45" s="43">
        <f t="shared" si="76"/>
        <v>0</v>
      </c>
      <c r="BG45" s="43">
        <f t="shared" si="76"/>
        <v>0</v>
      </c>
      <c r="BH45" s="43">
        <f t="shared" si="76"/>
        <v>0</v>
      </c>
      <c r="BI45" s="43">
        <f t="shared" si="76"/>
        <v>0</v>
      </c>
      <c r="BJ45" s="43">
        <f t="shared" si="76"/>
        <v>0</v>
      </c>
      <c r="BK45" s="43">
        <f t="shared" si="76"/>
        <v>0</v>
      </c>
      <c r="BL45" s="43">
        <f t="shared" si="76"/>
        <v>0</v>
      </c>
      <c r="BM45" s="43">
        <f t="shared" si="76"/>
        <v>0</v>
      </c>
      <c r="BN45" s="43">
        <f t="shared" si="76"/>
        <v>0</v>
      </c>
      <c r="BO45" s="43">
        <f t="shared" si="76"/>
        <v>0</v>
      </c>
      <c r="BP45" s="43">
        <f t="shared" si="76"/>
        <v>0</v>
      </c>
      <c r="BQ45" s="43">
        <f t="shared" si="76"/>
        <v>0</v>
      </c>
      <c r="BR45" s="43">
        <f t="shared" si="76"/>
        <v>0</v>
      </c>
      <c r="BS45" s="43">
        <f t="shared" si="76"/>
        <v>0</v>
      </c>
      <c r="BT45" s="43">
        <f t="shared" si="76"/>
        <v>0</v>
      </c>
      <c r="BU45" s="43">
        <f t="shared" si="76"/>
        <v>0</v>
      </c>
      <c r="BV45" s="43">
        <f t="shared" si="76"/>
        <v>0</v>
      </c>
      <c r="BW45" s="43">
        <f t="shared" si="76"/>
        <v>0</v>
      </c>
      <c r="BX45" s="43">
        <f t="shared" si="76"/>
        <v>0</v>
      </c>
      <c r="BY45" s="43">
        <f t="shared" si="76"/>
        <v>0</v>
      </c>
      <c r="BZ45" s="43">
        <f t="shared" si="76"/>
        <v>0</v>
      </c>
      <c r="CA45" s="43">
        <f t="shared" si="76"/>
        <v>0</v>
      </c>
      <c r="CB45" s="43">
        <f t="shared" si="76"/>
        <v>0</v>
      </c>
      <c r="CC45" s="43">
        <f t="shared" si="76"/>
        <v>0</v>
      </c>
      <c r="CD45" s="43">
        <f t="shared" si="76"/>
        <v>0</v>
      </c>
      <c r="CE45" s="43">
        <f t="shared" ref="CE45:CW45" si="77">COUNTIF(CE9:CE42,"CE")</f>
        <v>0</v>
      </c>
      <c r="CF45" s="43">
        <f t="shared" si="77"/>
        <v>0</v>
      </c>
      <c r="CG45" s="43">
        <f t="shared" si="77"/>
        <v>0</v>
      </c>
      <c r="CH45" s="43">
        <f t="shared" si="77"/>
        <v>0</v>
      </c>
      <c r="CI45" s="43">
        <f t="shared" si="77"/>
        <v>0</v>
      </c>
      <c r="CJ45" s="43">
        <f t="shared" si="77"/>
        <v>0</v>
      </c>
      <c r="CK45" s="43">
        <f t="shared" si="77"/>
        <v>0</v>
      </c>
      <c r="CL45" s="43">
        <f t="shared" si="77"/>
        <v>0</v>
      </c>
      <c r="CM45" s="43">
        <f t="shared" si="77"/>
        <v>0</v>
      </c>
      <c r="CN45" s="43">
        <f t="shared" si="77"/>
        <v>0</v>
      </c>
      <c r="CO45" s="43">
        <f t="shared" si="77"/>
        <v>0</v>
      </c>
      <c r="CP45" s="43">
        <f t="shared" si="77"/>
        <v>0</v>
      </c>
      <c r="CQ45" s="43">
        <f t="shared" si="77"/>
        <v>0</v>
      </c>
      <c r="CR45" s="43">
        <f t="shared" si="77"/>
        <v>0</v>
      </c>
      <c r="CS45" s="43">
        <f t="shared" si="77"/>
        <v>0</v>
      </c>
      <c r="CT45" s="43">
        <f t="shared" si="77"/>
        <v>0</v>
      </c>
      <c r="CU45" s="43">
        <f t="shared" si="77"/>
        <v>0</v>
      </c>
      <c r="CV45" s="43">
        <f t="shared" si="77"/>
        <v>0</v>
      </c>
      <c r="CW45" s="43">
        <f t="shared" si="77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78">CX45+CZ45+DB45+DD45+DF45+DH45+DJ45+DL45+DN45+DP45+DR45+DT45</f>
        <v>0</v>
      </c>
      <c r="DW45" s="38">
        <f t="shared" si="78"/>
        <v>0</v>
      </c>
    </row>
    <row r="46" spans="1:127" ht="15.75" customHeight="1">
      <c r="A46" s="73"/>
      <c r="B46" s="74"/>
      <c r="C46" s="75"/>
      <c r="D46" s="75"/>
      <c r="E46" s="75"/>
      <c r="F46" s="74"/>
      <c r="G46" s="176" t="s">
        <v>12</v>
      </c>
      <c r="H46" s="166"/>
      <c r="I46" s="166"/>
      <c r="J46" s="166"/>
      <c r="K46" s="166"/>
      <c r="L46" s="166"/>
      <c r="M46" s="167"/>
      <c r="N46" s="168" t="str">
        <f>I8</f>
        <v>SE</v>
      </c>
      <c r="O46" s="169"/>
      <c r="P46" s="43">
        <f>COUNTIF(P9:P43,"SE")</f>
        <v>2</v>
      </c>
      <c r="Q46" s="43">
        <f>COUNTIF(Q9:Q43,"SE")</f>
        <v>0</v>
      </c>
      <c r="R46" s="43">
        <f>COUNTIF(R9:R43,"SE")</f>
        <v>0</v>
      </c>
      <c r="S46" s="43">
        <f t="shared" ref="S46:AX46" si="79">COUNTIF(S9:S42,"SE")</f>
        <v>3</v>
      </c>
      <c r="T46" s="43">
        <f t="shared" si="79"/>
        <v>2</v>
      </c>
      <c r="U46" s="43">
        <f t="shared" si="79"/>
        <v>0</v>
      </c>
      <c r="V46" s="43">
        <f t="shared" si="79"/>
        <v>4</v>
      </c>
      <c r="W46" s="43">
        <f t="shared" si="79"/>
        <v>4</v>
      </c>
      <c r="X46" s="43">
        <f t="shared" si="79"/>
        <v>0</v>
      </c>
      <c r="Y46" s="43">
        <f t="shared" si="79"/>
        <v>0</v>
      </c>
      <c r="Z46" s="43">
        <f t="shared" si="79"/>
        <v>5</v>
      </c>
      <c r="AA46" s="43">
        <f t="shared" si="79"/>
        <v>0</v>
      </c>
      <c r="AB46" s="43">
        <f t="shared" si="79"/>
        <v>0</v>
      </c>
      <c r="AC46" s="43">
        <f t="shared" si="79"/>
        <v>0</v>
      </c>
      <c r="AD46" s="43">
        <f t="shared" si="79"/>
        <v>0</v>
      </c>
      <c r="AE46" s="43">
        <f t="shared" si="79"/>
        <v>0</v>
      </c>
      <c r="AF46" s="43">
        <f t="shared" si="79"/>
        <v>0</v>
      </c>
      <c r="AG46" s="43">
        <f t="shared" si="79"/>
        <v>0</v>
      </c>
      <c r="AH46" s="43">
        <f t="shared" si="79"/>
        <v>0</v>
      </c>
      <c r="AI46" s="43">
        <f t="shared" si="79"/>
        <v>0</v>
      </c>
      <c r="AJ46" s="43">
        <f t="shared" si="79"/>
        <v>0</v>
      </c>
      <c r="AK46" s="43">
        <f t="shared" si="79"/>
        <v>0</v>
      </c>
      <c r="AL46" s="43">
        <f t="shared" si="79"/>
        <v>0</v>
      </c>
      <c r="AM46" s="43">
        <f t="shared" si="79"/>
        <v>0</v>
      </c>
      <c r="AN46" s="43">
        <f t="shared" si="79"/>
        <v>0</v>
      </c>
      <c r="AO46" s="43">
        <f t="shared" si="79"/>
        <v>0</v>
      </c>
      <c r="AP46" s="43">
        <f t="shared" si="79"/>
        <v>0</v>
      </c>
      <c r="AQ46" s="43">
        <f t="shared" si="79"/>
        <v>0</v>
      </c>
      <c r="AR46" s="43">
        <f t="shared" si="79"/>
        <v>0</v>
      </c>
      <c r="AS46" s="43">
        <f t="shared" si="79"/>
        <v>0</v>
      </c>
      <c r="AT46" s="43">
        <f t="shared" si="79"/>
        <v>0</v>
      </c>
      <c r="AU46" s="43">
        <f t="shared" si="79"/>
        <v>0</v>
      </c>
      <c r="AV46" s="43">
        <f t="shared" si="79"/>
        <v>0</v>
      </c>
      <c r="AW46" s="43">
        <f t="shared" si="79"/>
        <v>0</v>
      </c>
      <c r="AX46" s="43">
        <f t="shared" si="79"/>
        <v>0</v>
      </c>
      <c r="AY46" s="43">
        <f t="shared" ref="AY46:CD46" si="80">COUNTIF(AY9:AY42,"SE")</f>
        <v>0</v>
      </c>
      <c r="AZ46" s="43">
        <f t="shared" si="80"/>
        <v>0</v>
      </c>
      <c r="BA46" s="43">
        <f t="shared" si="80"/>
        <v>0</v>
      </c>
      <c r="BB46" s="43">
        <f t="shared" si="80"/>
        <v>0</v>
      </c>
      <c r="BC46" s="43">
        <f t="shared" si="80"/>
        <v>0</v>
      </c>
      <c r="BD46" s="43">
        <f t="shared" si="80"/>
        <v>0</v>
      </c>
      <c r="BE46" s="43">
        <f t="shared" si="80"/>
        <v>0</v>
      </c>
      <c r="BF46" s="43">
        <f t="shared" si="80"/>
        <v>0</v>
      </c>
      <c r="BG46" s="43">
        <f t="shared" si="80"/>
        <v>0</v>
      </c>
      <c r="BH46" s="43">
        <f t="shared" si="80"/>
        <v>0</v>
      </c>
      <c r="BI46" s="43">
        <f t="shared" si="80"/>
        <v>0</v>
      </c>
      <c r="BJ46" s="43">
        <f t="shared" si="80"/>
        <v>0</v>
      </c>
      <c r="BK46" s="43">
        <f t="shared" si="80"/>
        <v>0</v>
      </c>
      <c r="BL46" s="43">
        <f t="shared" si="80"/>
        <v>0</v>
      </c>
      <c r="BM46" s="43">
        <f t="shared" si="80"/>
        <v>0</v>
      </c>
      <c r="BN46" s="43">
        <f t="shared" si="80"/>
        <v>0</v>
      </c>
      <c r="BO46" s="43">
        <f t="shared" si="80"/>
        <v>0</v>
      </c>
      <c r="BP46" s="43">
        <f t="shared" si="80"/>
        <v>0</v>
      </c>
      <c r="BQ46" s="43">
        <f t="shared" si="80"/>
        <v>0</v>
      </c>
      <c r="BR46" s="43">
        <f t="shared" si="80"/>
        <v>0</v>
      </c>
      <c r="BS46" s="43">
        <f t="shared" si="80"/>
        <v>0</v>
      </c>
      <c r="BT46" s="43">
        <f t="shared" si="80"/>
        <v>0</v>
      </c>
      <c r="BU46" s="43">
        <f t="shared" si="80"/>
        <v>0</v>
      </c>
      <c r="BV46" s="43">
        <f t="shared" si="80"/>
        <v>0</v>
      </c>
      <c r="BW46" s="43">
        <f t="shared" si="80"/>
        <v>0</v>
      </c>
      <c r="BX46" s="43">
        <f t="shared" si="80"/>
        <v>0</v>
      </c>
      <c r="BY46" s="43">
        <f t="shared" si="80"/>
        <v>0</v>
      </c>
      <c r="BZ46" s="43">
        <f t="shared" si="80"/>
        <v>0</v>
      </c>
      <c r="CA46" s="43">
        <f t="shared" si="80"/>
        <v>0</v>
      </c>
      <c r="CB46" s="43">
        <f t="shared" si="80"/>
        <v>0</v>
      </c>
      <c r="CC46" s="43">
        <f t="shared" si="80"/>
        <v>0</v>
      </c>
      <c r="CD46" s="43">
        <f t="shared" si="80"/>
        <v>0</v>
      </c>
      <c r="CE46" s="43">
        <f t="shared" ref="CE46:CW46" si="81">COUNTIF(CE9:CE42,"SE")</f>
        <v>0</v>
      </c>
      <c r="CF46" s="43">
        <f t="shared" si="81"/>
        <v>0</v>
      </c>
      <c r="CG46" s="43">
        <f t="shared" si="81"/>
        <v>0</v>
      </c>
      <c r="CH46" s="43">
        <f t="shared" si="81"/>
        <v>0</v>
      </c>
      <c r="CI46" s="43">
        <f t="shared" si="81"/>
        <v>0</v>
      </c>
      <c r="CJ46" s="43">
        <f t="shared" si="81"/>
        <v>0</v>
      </c>
      <c r="CK46" s="43">
        <f t="shared" si="81"/>
        <v>0</v>
      </c>
      <c r="CL46" s="43">
        <f t="shared" si="81"/>
        <v>0</v>
      </c>
      <c r="CM46" s="43">
        <f t="shared" si="81"/>
        <v>0</v>
      </c>
      <c r="CN46" s="43">
        <f t="shared" si="81"/>
        <v>0</v>
      </c>
      <c r="CO46" s="43">
        <f t="shared" si="81"/>
        <v>0</v>
      </c>
      <c r="CP46" s="43">
        <f t="shared" si="81"/>
        <v>0</v>
      </c>
      <c r="CQ46" s="43">
        <f t="shared" si="81"/>
        <v>0</v>
      </c>
      <c r="CR46" s="43">
        <f t="shared" si="81"/>
        <v>0</v>
      </c>
      <c r="CS46" s="43">
        <f t="shared" si="81"/>
        <v>0</v>
      </c>
      <c r="CT46" s="43">
        <f t="shared" si="81"/>
        <v>0</v>
      </c>
      <c r="CU46" s="43">
        <f t="shared" si="81"/>
        <v>0</v>
      </c>
      <c r="CV46" s="43">
        <f t="shared" si="81"/>
        <v>0</v>
      </c>
      <c r="CW46" s="43">
        <f t="shared" si="81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82">CX46+CZ46+DB46+DD46+DF46+DH46+DJ46+DL46+DN46+DP46+DR46+DT46</f>
        <v>0</v>
      </c>
      <c r="DW46" s="38">
        <f t="shared" si="82"/>
        <v>0</v>
      </c>
    </row>
    <row r="47" spans="1:127" ht="15.75" customHeight="1">
      <c r="A47" s="73"/>
      <c r="B47" s="74"/>
      <c r="C47" s="75"/>
      <c r="D47" s="75"/>
      <c r="E47" s="75"/>
      <c r="F47" s="44"/>
      <c r="G47" s="177" t="s">
        <v>60</v>
      </c>
      <c r="H47" s="166"/>
      <c r="I47" s="166"/>
      <c r="J47" s="166"/>
      <c r="K47" s="166"/>
      <c r="L47" s="166"/>
      <c r="M47" s="167"/>
      <c r="N47" s="168" t="str">
        <f>J8</f>
        <v>INC</v>
      </c>
      <c r="O47" s="169"/>
      <c r="P47" s="43">
        <f>COUNTIF(P9:P43,"INC")</f>
        <v>0</v>
      </c>
      <c r="Q47" s="43">
        <f>COUNTIF(Q9:Q43,"INC")</f>
        <v>0</v>
      </c>
      <c r="R47" s="43">
        <f>COUNTIF(R9:R43,"INC")</f>
        <v>0</v>
      </c>
      <c r="S47" s="43">
        <f t="shared" ref="S47:AX47" si="83">COUNTIF(S9:S42,"INC")</f>
        <v>0</v>
      </c>
      <c r="T47" s="43">
        <f t="shared" si="83"/>
        <v>0</v>
      </c>
      <c r="U47" s="43">
        <f t="shared" si="83"/>
        <v>0</v>
      </c>
      <c r="V47" s="43">
        <f t="shared" si="83"/>
        <v>0</v>
      </c>
      <c r="W47" s="43">
        <f t="shared" si="83"/>
        <v>0</v>
      </c>
      <c r="X47" s="43">
        <f t="shared" si="83"/>
        <v>0</v>
      </c>
      <c r="Y47" s="43">
        <f t="shared" si="83"/>
        <v>0</v>
      </c>
      <c r="Z47" s="43">
        <f t="shared" si="83"/>
        <v>0</v>
      </c>
      <c r="AA47" s="43">
        <f t="shared" si="83"/>
        <v>0</v>
      </c>
      <c r="AB47" s="43">
        <f t="shared" si="83"/>
        <v>0</v>
      </c>
      <c r="AC47" s="43">
        <f t="shared" si="83"/>
        <v>0</v>
      </c>
      <c r="AD47" s="43">
        <f t="shared" si="83"/>
        <v>0</v>
      </c>
      <c r="AE47" s="43">
        <f t="shared" si="83"/>
        <v>0</v>
      </c>
      <c r="AF47" s="43">
        <f t="shared" si="83"/>
        <v>0</v>
      </c>
      <c r="AG47" s="43">
        <f t="shared" si="83"/>
        <v>0</v>
      </c>
      <c r="AH47" s="43">
        <f t="shared" si="83"/>
        <v>0</v>
      </c>
      <c r="AI47" s="43">
        <f t="shared" si="83"/>
        <v>0</v>
      </c>
      <c r="AJ47" s="43">
        <f t="shared" si="83"/>
        <v>0</v>
      </c>
      <c r="AK47" s="43">
        <f t="shared" si="83"/>
        <v>0</v>
      </c>
      <c r="AL47" s="43">
        <f t="shared" si="83"/>
        <v>0</v>
      </c>
      <c r="AM47" s="43">
        <f t="shared" si="83"/>
        <v>0</v>
      </c>
      <c r="AN47" s="43">
        <f t="shared" si="83"/>
        <v>0</v>
      </c>
      <c r="AO47" s="43">
        <f t="shared" si="83"/>
        <v>0</v>
      </c>
      <c r="AP47" s="43">
        <f t="shared" si="83"/>
        <v>0</v>
      </c>
      <c r="AQ47" s="43">
        <f t="shared" si="83"/>
        <v>0</v>
      </c>
      <c r="AR47" s="43">
        <f t="shared" si="83"/>
        <v>0</v>
      </c>
      <c r="AS47" s="43">
        <f t="shared" si="83"/>
        <v>0</v>
      </c>
      <c r="AT47" s="43">
        <f t="shared" si="83"/>
        <v>0</v>
      </c>
      <c r="AU47" s="43">
        <f t="shared" si="83"/>
        <v>0</v>
      </c>
      <c r="AV47" s="43">
        <f t="shared" si="83"/>
        <v>0</v>
      </c>
      <c r="AW47" s="43">
        <f t="shared" si="83"/>
        <v>0</v>
      </c>
      <c r="AX47" s="43">
        <f t="shared" si="83"/>
        <v>0</v>
      </c>
      <c r="AY47" s="43">
        <f t="shared" ref="AY47:CD47" si="84">COUNTIF(AY9:AY42,"INC")</f>
        <v>0</v>
      </c>
      <c r="AZ47" s="43">
        <f t="shared" si="84"/>
        <v>0</v>
      </c>
      <c r="BA47" s="43">
        <f t="shared" si="84"/>
        <v>0</v>
      </c>
      <c r="BB47" s="43">
        <f t="shared" si="84"/>
        <v>0</v>
      </c>
      <c r="BC47" s="43">
        <f t="shared" si="84"/>
        <v>0</v>
      </c>
      <c r="BD47" s="43">
        <f t="shared" si="84"/>
        <v>0</v>
      </c>
      <c r="BE47" s="43">
        <f t="shared" si="84"/>
        <v>0</v>
      </c>
      <c r="BF47" s="43">
        <f t="shared" si="84"/>
        <v>0</v>
      </c>
      <c r="BG47" s="43">
        <f t="shared" si="84"/>
        <v>0</v>
      </c>
      <c r="BH47" s="43">
        <f t="shared" si="84"/>
        <v>0</v>
      </c>
      <c r="BI47" s="43">
        <f t="shared" si="84"/>
        <v>0</v>
      </c>
      <c r="BJ47" s="43">
        <f t="shared" si="84"/>
        <v>0</v>
      </c>
      <c r="BK47" s="43">
        <f t="shared" si="84"/>
        <v>0</v>
      </c>
      <c r="BL47" s="43">
        <f t="shared" si="84"/>
        <v>0</v>
      </c>
      <c r="BM47" s="43">
        <f t="shared" si="84"/>
        <v>0</v>
      </c>
      <c r="BN47" s="43">
        <f t="shared" si="84"/>
        <v>0</v>
      </c>
      <c r="BO47" s="43">
        <f t="shared" si="84"/>
        <v>0</v>
      </c>
      <c r="BP47" s="43">
        <f t="shared" si="84"/>
        <v>0</v>
      </c>
      <c r="BQ47" s="43">
        <f t="shared" si="84"/>
        <v>0</v>
      </c>
      <c r="BR47" s="43">
        <f t="shared" si="84"/>
        <v>0</v>
      </c>
      <c r="BS47" s="43">
        <f t="shared" si="84"/>
        <v>0</v>
      </c>
      <c r="BT47" s="43">
        <f t="shared" si="84"/>
        <v>0</v>
      </c>
      <c r="BU47" s="43">
        <f t="shared" si="84"/>
        <v>0</v>
      </c>
      <c r="BV47" s="43">
        <f t="shared" si="84"/>
        <v>0</v>
      </c>
      <c r="BW47" s="43">
        <f t="shared" si="84"/>
        <v>0</v>
      </c>
      <c r="BX47" s="43">
        <f t="shared" si="84"/>
        <v>0</v>
      </c>
      <c r="BY47" s="43">
        <f t="shared" si="84"/>
        <v>0</v>
      </c>
      <c r="BZ47" s="43">
        <f t="shared" si="84"/>
        <v>0</v>
      </c>
      <c r="CA47" s="43">
        <f t="shared" si="84"/>
        <v>0</v>
      </c>
      <c r="CB47" s="43">
        <f t="shared" si="84"/>
        <v>0</v>
      </c>
      <c r="CC47" s="43">
        <f t="shared" si="84"/>
        <v>0</v>
      </c>
      <c r="CD47" s="43">
        <f t="shared" si="84"/>
        <v>0</v>
      </c>
      <c r="CE47" s="43">
        <f t="shared" ref="CE47:CW47" si="85">COUNTIF(CE9:CE42,"INC")</f>
        <v>0</v>
      </c>
      <c r="CF47" s="43">
        <f t="shared" si="85"/>
        <v>0</v>
      </c>
      <c r="CG47" s="43">
        <f t="shared" si="85"/>
        <v>0</v>
      </c>
      <c r="CH47" s="43">
        <f t="shared" si="85"/>
        <v>0</v>
      </c>
      <c r="CI47" s="43">
        <f t="shared" si="85"/>
        <v>0</v>
      </c>
      <c r="CJ47" s="43">
        <f t="shared" si="85"/>
        <v>0</v>
      </c>
      <c r="CK47" s="43">
        <f t="shared" si="85"/>
        <v>0</v>
      </c>
      <c r="CL47" s="43">
        <f t="shared" si="85"/>
        <v>0</v>
      </c>
      <c r="CM47" s="43">
        <f t="shared" si="85"/>
        <v>0</v>
      </c>
      <c r="CN47" s="43">
        <f t="shared" si="85"/>
        <v>0</v>
      </c>
      <c r="CO47" s="43">
        <f t="shared" si="85"/>
        <v>0</v>
      </c>
      <c r="CP47" s="43">
        <f t="shared" si="85"/>
        <v>0</v>
      </c>
      <c r="CQ47" s="43">
        <f t="shared" si="85"/>
        <v>0</v>
      </c>
      <c r="CR47" s="43">
        <f t="shared" si="85"/>
        <v>0</v>
      </c>
      <c r="CS47" s="43">
        <f t="shared" si="85"/>
        <v>0</v>
      </c>
      <c r="CT47" s="43">
        <f t="shared" si="85"/>
        <v>0</v>
      </c>
      <c r="CU47" s="43">
        <f t="shared" si="85"/>
        <v>0</v>
      </c>
      <c r="CV47" s="43">
        <f t="shared" si="85"/>
        <v>0</v>
      </c>
      <c r="CW47" s="43">
        <f t="shared" si="85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86">CX47+CZ47+DB47+DD47+DF47+DH47+DJ47+DL47+DN47+DP47+DR47+DT47</f>
        <v>0</v>
      </c>
      <c r="DW47" s="38">
        <f t="shared" si="86"/>
        <v>0</v>
      </c>
    </row>
    <row r="48" spans="1:127" ht="15.75" customHeight="1">
      <c r="A48" s="73"/>
      <c r="B48" s="74"/>
      <c r="C48" s="75"/>
      <c r="D48" s="75"/>
      <c r="E48" s="75"/>
      <c r="F48" s="74"/>
      <c r="G48" s="172" t="s">
        <v>61</v>
      </c>
      <c r="H48" s="166"/>
      <c r="I48" s="166"/>
      <c r="J48" s="166"/>
      <c r="K48" s="166"/>
      <c r="L48" s="166"/>
      <c r="M48" s="167"/>
      <c r="N48" s="168" t="str">
        <f>K8</f>
        <v>LIC</v>
      </c>
      <c r="O48" s="169"/>
      <c r="P48" s="43">
        <f>COUNTIF(P9:P43,"LIC")</f>
        <v>0</v>
      </c>
      <c r="Q48" s="43">
        <f>COUNTIF(Q9:Q43,"LIC")</f>
        <v>0</v>
      </c>
      <c r="R48" s="43">
        <f>COUNTIF(R9:R43,"LIC")</f>
        <v>0</v>
      </c>
      <c r="S48" s="43">
        <f t="shared" ref="S48:AX48" si="87">COUNTIF(S9:S42,"LIC")</f>
        <v>0</v>
      </c>
      <c r="T48" s="43">
        <f t="shared" si="87"/>
        <v>0</v>
      </c>
      <c r="U48" s="43">
        <f t="shared" si="87"/>
        <v>0</v>
      </c>
      <c r="V48" s="43">
        <f t="shared" si="87"/>
        <v>0</v>
      </c>
      <c r="W48" s="43">
        <f t="shared" si="87"/>
        <v>0</v>
      </c>
      <c r="X48" s="43">
        <f t="shared" si="87"/>
        <v>0</v>
      </c>
      <c r="Y48" s="43">
        <f t="shared" si="87"/>
        <v>0</v>
      </c>
      <c r="Z48" s="43">
        <f t="shared" si="87"/>
        <v>0</v>
      </c>
      <c r="AA48" s="43">
        <f t="shared" si="87"/>
        <v>0</v>
      </c>
      <c r="AB48" s="43">
        <f t="shared" si="87"/>
        <v>0</v>
      </c>
      <c r="AC48" s="43">
        <f t="shared" si="87"/>
        <v>0</v>
      </c>
      <c r="AD48" s="43">
        <f t="shared" si="87"/>
        <v>0</v>
      </c>
      <c r="AE48" s="43">
        <f t="shared" si="87"/>
        <v>0</v>
      </c>
      <c r="AF48" s="43">
        <f t="shared" si="87"/>
        <v>0</v>
      </c>
      <c r="AG48" s="43">
        <f t="shared" si="87"/>
        <v>0</v>
      </c>
      <c r="AH48" s="43">
        <f t="shared" si="87"/>
        <v>0</v>
      </c>
      <c r="AI48" s="43">
        <f t="shared" si="87"/>
        <v>0</v>
      </c>
      <c r="AJ48" s="43">
        <f t="shared" si="87"/>
        <v>0</v>
      </c>
      <c r="AK48" s="43">
        <f t="shared" si="87"/>
        <v>0</v>
      </c>
      <c r="AL48" s="43">
        <f t="shared" si="87"/>
        <v>0</v>
      </c>
      <c r="AM48" s="43">
        <f t="shared" si="87"/>
        <v>0</v>
      </c>
      <c r="AN48" s="43">
        <f t="shared" si="87"/>
        <v>0</v>
      </c>
      <c r="AO48" s="43">
        <f t="shared" si="87"/>
        <v>0</v>
      </c>
      <c r="AP48" s="43">
        <f t="shared" si="87"/>
        <v>0</v>
      </c>
      <c r="AQ48" s="43">
        <f t="shared" si="87"/>
        <v>0</v>
      </c>
      <c r="AR48" s="43">
        <f t="shared" si="87"/>
        <v>0</v>
      </c>
      <c r="AS48" s="43">
        <f t="shared" si="87"/>
        <v>0</v>
      </c>
      <c r="AT48" s="43">
        <f t="shared" si="87"/>
        <v>0</v>
      </c>
      <c r="AU48" s="43">
        <f t="shared" si="87"/>
        <v>0</v>
      </c>
      <c r="AV48" s="43">
        <f t="shared" si="87"/>
        <v>0</v>
      </c>
      <c r="AW48" s="43">
        <f t="shared" si="87"/>
        <v>0</v>
      </c>
      <c r="AX48" s="43">
        <f t="shared" si="87"/>
        <v>0</v>
      </c>
      <c r="AY48" s="43">
        <f t="shared" ref="AY48:CD48" si="88">COUNTIF(AY9:AY42,"LIC")</f>
        <v>0</v>
      </c>
      <c r="AZ48" s="43">
        <f t="shared" si="88"/>
        <v>0</v>
      </c>
      <c r="BA48" s="43">
        <f t="shared" si="88"/>
        <v>0</v>
      </c>
      <c r="BB48" s="43">
        <f t="shared" si="88"/>
        <v>0</v>
      </c>
      <c r="BC48" s="43">
        <f t="shared" si="88"/>
        <v>0</v>
      </c>
      <c r="BD48" s="43">
        <f t="shared" si="88"/>
        <v>0</v>
      </c>
      <c r="BE48" s="43">
        <f t="shared" si="88"/>
        <v>0</v>
      </c>
      <c r="BF48" s="43">
        <f t="shared" si="88"/>
        <v>0</v>
      </c>
      <c r="BG48" s="43">
        <f t="shared" si="88"/>
        <v>0</v>
      </c>
      <c r="BH48" s="43">
        <f t="shared" si="88"/>
        <v>0</v>
      </c>
      <c r="BI48" s="43">
        <f t="shared" si="88"/>
        <v>0</v>
      </c>
      <c r="BJ48" s="43">
        <f t="shared" si="88"/>
        <v>0</v>
      </c>
      <c r="BK48" s="43">
        <f t="shared" si="88"/>
        <v>0</v>
      </c>
      <c r="BL48" s="43">
        <f t="shared" si="88"/>
        <v>0</v>
      </c>
      <c r="BM48" s="43">
        <f t="shared" si="88"/>
        <v>0</v>
      </c>
      <c r="BN48" s="43">
        <f t="shared" si="88"/>
        <v>0</v>
      </c>
      <c r="BO48" s="43">
        <f t="shared" si="88"/>
        <v>0</v>
      </c>
      <c r="BP48" s="43">
        <f t="shared" si="88"/>
        <v>0</v>
      </c>
      <c r="BQ48" s="43">
        <f t="shared" si="88"/>
        <v>0</v>
      </c>
      <c r="BR48" s="43">
        <f t="shared" si="88"/>
        <v>0</v>
      </c>
      <c r="BS48" s="43">
        <f t="shared" si="88"/>
        <v>0</v>
      </c>
      <c r="BT48" s="43">
        <f t="shared" si="88"/>
        <v>0</v>
      </c>
      <c r="BU48" s="43">
        <f t="shared" si="88"/>
        <v>0</v>
      </c>
      <c r="BV48" s="43">
        <f t="shared" si="88"/>
        <v>0</v>
      </c>
      <c r="BW48" s="43">
        <f t="shared" si="88"/>
        <v>0</v>
      </c>
      <c r="BX48" s="43">
        <f t="shared" si="88"/>
        <v>0</v>
      </c>
      <c r="BY48" s="43">
        <f t="shared" si="88"/>
        <v>0</v>
      </c>
      <c r="BZ48" s="43">
        <f t="shared" si="88"/>
        <v>0</v>
      </c>
      <c r="CA48" s="43">
        <f t="shared" si="88"/>
        <v>0</v>
      </c>
      <c r="CB48" s="43">
        <f t="shared" si="88"/>
        <v>0</v>
      </c>
      <c r="CC48" s="43">
        <f t="shared" si="88"/>
        <v>0</v>
      </c>
      <c r="CD48" s="43">
        <f t="shared" si="88"/>
        <v>0</v>
      </c>
      <c r="CE48" s="43">
        <f t="shared" ref="CE48:CW48" si="89">COUNTIF(CE9:CE42,"LIC")</f>
        <v>0</v>
      </c>
      <c r="CF48" s="43">
        <f t="shared" si="89"/>
        <v>0</v>
      </c>
      <c r="CG48" s="43">
        <f t="shared" si="89"/>
        <v>0</v>
      </c>
      <c r="CH48" s="43">
        <f t="shared" si="89"/>
        <v>0</v>
      </c>
      <c r="CI48" s="43">
        <f t="shared" si="89"/>
        <v>0</v>
      </c>
      <c r="CJ48" s="43">
        <f t="shared" si="89"/>
        <v>0</v>
      </c>
      <c r="CK48" s="43">
        <f t="shared" si="89"/>
        <v>0</v>
      </c>
      <c r="CL48" s="43">
        <f t="shared" si="89"/>
        <v>0</v>
      </c>
      <c r="CM48" s="43">
        <f t="shared" si="89"/>
        <v>0</v>
      </c>
      <c r="CN48" s="43">
        <f t="shared" si="89"/>
        <v>0</v>
      </c>
      <c r="CO48" s="43">
        <f t="shared" si="89"/>
        <v>0</v>
      </c>
      <c r="CP48" s="43">
        <f t="shared" si="89"/>
        <v>0</v>
      </c>
      <c r="CQ48" s="43">
        <f t="shared" si="89"/>
        <v>0</v>
      </c>
      <c r="CR48" s="43">
        <f t="shared" si="89"/>
        <v>0</v>
      </c>
      <c r="CS48" s="43">
        <f t="shared" si="89"/>
        <v>0</v>
      </c>
      <c r="CT48" s="43">
        <f t="shared" si="89"/>
        <v>0</v>
      </c>
      <c r="CU48" s="43">
        <f t="shared" si="89"/>
        <v>0</v>
      </c>
      <c r="CV48" s="43">
        <f t="shared" si="89"/>
        <v>0</v>
      </c>
      <c r="CW48" s="43">
        <f t="shared" si="89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90">CX48+CZ48+DB48+DD48+DF48+DH48+DJ48+DL48+DN48+DP48+DR48+DT48</f>
        <v>0</v>
      </c>
      <c r="DW48" s="38">
        <f t="shared" si="90"/>
        <v>0</v>
      </c>
    </row>
    <row r="49" spans="1:127" ht="15.75" customHeight="1">
      <c r="A49" s="73"/>
      <c r="B49" s="74"/>
      <c r="C49" s="75"/>
      <c r="D49" s="75"/>
      <c r="E49" s="75"/>
      <c r="F49" s="74"/>
      <c r="G49" s="165" t="s">
        <v>62</v>
      </c>
      <c r="H49" s="166"/>
      <c r="I49" s="166"/>
      <c r="J49" s="166"/>
      <c r="K49" s="166"/>
      <c r="L49" s="166"/>
      <c r="M49" s="167"/>
      <c r="N49" s="168" t="str">
        <f>L8</f>
        <v>CLM</v>
      </c>
      <c r="O49" s="169"/>
      <c r="P49" s="43">
        <f>COUNTIF(P9:P43,"CLM")</f>
        <v>0</v>
      </c>
      <c r="Q49" s="43">
        <f>COUNTIF(Q9:Q43,"CLM")</f>
        <v>0</v>
      </c>
      <c r="R49" s="43">
        <f>COUNTIF(R9:R43,"CLM")</f>
        <v>0</v>
      </c>
      <c r="S49" s="43">
        <f t="shared" ref="S49:AX49" si="91">COUNTIF(S9:S42,"CLM")</f>
        <v>0</v>
      </c>
      <c r="T49" s="43">
        <f t="shared" si="91"/>
        <v>0</v>
      </c>
      <c r="U49" s="43">
        <f t="shared" si="91"/>
        <v>0</v>
      </c>
      <c r="V49" s="43">
        <f t="shared" si="91"/>
        <v>0</v>
      </c>
      <c r="W49" s="43">
        <f t="shared" si="91"/>
        <v>0</v>
      </c>
      <c r="X49" s="43">
        <f t="shared" si="91"/>
        <v>0</v>
      </c>
      <c r="Y49" s="43">
        <f t="shared" si="91"/>
        <v>0</v>
      </c>
      <c r="Z49" s="43">
        <f t="shared" si="91"/>
        <v>0</v>
      </c>
      <c r="AA49" s="43">
        <f t="shared" si="91"/>
        <v>0</v>
      </c>
      <c r="AB49" s="43">
        <f t="shared" si="91"/>
        <v>0</v>
      </c>
      <c r="AC49" s="43">
        <f t="shared" si="91"/>
        <v>0</v>
      </c>
      <c r="AD49" s="43">
        <f t="shared" si="91"/>
        <v>0</v>
      </c>
      <c r="AE49" s="43">
        <f t="shared" si="91"/>
        <v>0</v>
      </c>
      <c r="AF49" s="43">
        <f t="shared" si="91"/>
        <v>0</v>
      </c>
      <c r="AG49" s="43">
        <f t="shared" si="91"/>
        <v>0</v>
      </c>
      <c r="AH49" s="43">
        <f t="shared" si="91"/>
        <v>0</v>
      </c>
      <c r="AI49" s="43">
        <f t="shared" si="91"/>
        <v>0</v>
      </c>
      <c r="AJ49" s="43">
        <f t="shared" si="91"/>
        <v>0</v>
      </c>
      <c r="AK49" s="43">
        <f t="shared" si="91"/>
        <v>0</v>
      </c>
      <c r="AL49" s="43">
        <f t="shared" si="91"/>
        <v>0</v>
      </c>
      <c r="AM49" s="43">
        <f t="shared" si="91"/>
        <v>0</v>
      </c>
      <c r="AN49" s="43">
        <f t="shared" si="91"/>
        <v>0</v>
      </c>
      <c r="AO49" s="43">
        <f t="shared" si="91"/>
        <v>0</v>
      </c>
      <c r="AP49" s="43">
        <f t="shared" si="91"/>
        <v>0</v>
      </c>
      <c r="AQ49" s="43">
        <f t="shared" si="91"/>
        <v>0</v>
      </c>
      <c r="AR49" s="43">
        <f t="shared" si="91"/>
        <v>0</v>
      </c>
      <c r="AS49" s="43">
        <f t="shared" si="91"/>
        <v>0</v>
      </c>
      <c r="AT49" s="43">
        <f t="shared" si="91"/>
        <v>0</v>
      </c>
      <c r="AU49" s="43">
        <f t="shared" si="91"/>
        <v>0</v>
      </c>
      <c r="AV49" s="43">
        <f t="shared" si="91"/>
        <v>0</v>
      </c>
      <c r="AW49" s="43">
        <f t="shared" si="91"/>
        <v>0</v>
      </c>
      <c r="AX49" s="43">
        <f t="shared" si="91"/>
        <v>0</v>
      </c>
      <c r="AY49" s="43">
        <f t="shared" ref="AY49:CD49" si="92">COUNTIF(AY9:AY42,"CLM")</f>
        <v>0</v>
      </c>
      <c r="AZ49" s="43">
        <f t="shared" si="92"/>
        <v>0</v>
      </c>
      <c r="BA49" s="43">
        <f t="shared" si="92"/>
        <v>0</v>
      </c>
      <c r="BB49" s="43">
        <f t="shared" si="92"/>
        <v>0</v>
      </c>
      <c r="BC49" s="43">
        <f t="shared" si="92"/>
        <v>0</v>
      </c>
      <c r="BD49" s="43">
        <f t="shared" si="92"/>
        <v>0</v>
      </c>
      <c r="BE49" s="43">
        <f t="shared" si="92"/>
        <v>0</v>
      </c>
      <c r="BF49" s="43">
        <f t="shared" si="92"/>
        <v>0</v>
      </c>
      <c r="BG49" s="43">
        <f t="shared" si="92"/>
        <v>0</v>
      </c>
      <c r="BH49" s="43">
        <f t="shared" si="92"/>
        <v>0</v>
      </c>
      <c r="BI49" s="43">
        <f t="shared" si="92"/>
        <v>0</v>
      </c>
      <c r="BJ49" s="43">
        <f t="shared" si="92"/>
        <v>0</v>
      </c>
      <c r="BK49" s="43">
        <f t="shared" si="92"/>
        <v>0</v>
      </c>
      <c r="BL49" s="43">
        <f t="shared" si="92"/>
        <v>0</v>
      </c>
      <c r="BM49" s="43">
        <f t="shared" si="92"/>
        <v>0</v>
      </c>
      <c r="BN49" s="43">
        <f t="shared" si="92"/>
        <v>0</v>
      </c>
      <c r="BO49" s="43">
        <f t="shared" si="92"/>
        <v>0</v>
      </c>
      <c r="BP49" s="43">
        <f t="shared" si="92"/>
        <v>0</v>
      </c>
      <c r="BQ49" s="43">
        <f t="shared" si="92"/>
        <v>0</v>
      </c>
      <c r="BR49" s="43">
        <f t="shared" si="92"/>
        <v>0</v>
      </c>
      <c r="BS49" s="43">
        <f t="shared" si="92"/>
        <v>0</v>
      </c>
      <c r="BT49" s="43">
        <f t="shared" si="92"/>
        <v>0</v>
      </c>
      <c r="BU49" s="43">
        <f t="shared" si="92"/>
        <v>0</v>
      </c>
      <c r="BV49" s="43">
        <f t="shared" si="92"/>
        <v>0</v>
      </c>
      <c r="BW49" s="43">
        <f t="shared" si="92"/>
        <v>0</v>
      </c>
      <c r="BX49" s="43">
        <f t="shared" si="92"/>
        <v>0</v>
      </c>
      <c r="BY49" s="43">
        <f t="shared" si="92"/>
        <v>0</v>
      </c>
      <c r="BZ49" s="43">
        <f t="shared" si="92"/>
        <v>0</v>
      </c>
      <c r="CA49" s="43">
        <f t="shared" si="92"/>
        <v>0</v>
      </c>
      <c r="CB49" s="43">
        <f t="shared" si="92"/>
        <v>0</v>
      </c>
      <c r="CC49" s="43">
        <f t="shared" si="92"/>
        <v>0</v>
      </c>
      <c r="CD49" s="43">
        <f t="shared" si="92"/>
        <v>0</v>
      </c>
      <c r="CE49" s="43">
        <f t="shared" ref="CE49:CW49" si="93">COUNTIF(CE9:CE42,"CLM")</f>
        <v>0</v>
      </c>
      <c r="CF49" s="43">
        <f t="shared" si="93"/>
        <v>0</v>
      </c>
      <c r="CG49" s="43">
        <f t="shared" si="93"/>
        <v>0</v>
      </c>
      <c r="CH49" s="43">
        <f t="shared" si="93"/>
        <v>0</v>
      </c>
      <c r="CI49" s="43">
        <f t="shared" si="93"/>
        <v>0</v>
      </c>
      <c r="CJ49" s="43">
        <f t="shared" si="93"/>
        <v>0</v>
      </c>
      <c r="CK49" s="43">
        <f t="shared" si="93"/>
        <v>0</v>
      </c>
      <c r="CL49" s="43">
        <f t="shared" si="93"/>
        <v>0</v>
      </c>
      <c r="CM49" s="43">
        <f t="shared" si="93"/>
        <v>0</v>
      </c>
      <c r="CN49" s="43">
        <f t="shared" si="93"/>
        <v>0</v>
      </c>
      <c r="CO49" s="43">
        <f t="shared" si="93"/>
        <v>0</v>
      </c>
      <c r="CP49" s="43">
        <f t="shared" si="93"/>
        <v>0</v>
      </c>
      <c r="CQ49" s="43">
        <f t="shared" si="93"/>
        <v>0</v>
      </c>
      <c r="CR49" s="43">
        <f t="shared" si="93"/>
        <v>0</v>
      </c>
      <c r="CS49" s="43">
        <f t="shared" si="93"/>
        <v>0</v>
      </c>
      <c r="CT49" s="43">
        <f t="shared" si="93"/>
        <v>0</v>
      </c>
      <c r="CU49" s="43">
        <f t="shared" si="93"/>
        <v>0</v>
      </c>
      <c r="CV49" s="43">
        <f t="shared" si="93"/>
        <v>0</v>
      </c>
      <c r="CW49" s="43">
        <f t="shared" si="93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94">CX49+CZ49+DB49+DD49+DF49+DH49+DJ49+DL49+DN49+DP49+DR49+DT49</f>
        <v>0</v>
      </c>
      <c r="DW49" s="38">
        <f t="shared" si="94"/>
        <v>0</v>
      </c>
    </row>
    <row r="50" spans="1:127" ht="15.75" customHeight="1">
      <c r="A50" s="73"/>
      <c r="B50" s="74"/>
      <c r="C50" s="75"/>
      <c r="D50" s="75"/>
      <c r="E50" s="75"/>
      <c r="F50" s="74"/>
      <c r="G50" s="170" t="s">
        <v>63</v>
      </c>
      <c r="H50" s="166"/>
      <c r="I50" s="166"/>
      <c r="J50" s="166"/>
      <c r="K50" s="166"/>
      <c r="L50" s="166"/>
      <c r="M50" s="167"/>
      <c r="N50" s="168" t="str">
        <f>M8</f>
        <v>SFF</v>
      </c>
      <c r="O50" s="169"/>
      <c r="P50" s="43">
        <f>COUNTIF(P9:P43,"SFF")</f>
        <v>0</v>
      </c>
      <c r="Q50" s="43">
        <f>COUNTIF(Q9:Q43,"SFF")</f>
        <v>0</v>
      </c>
      <c r="R50" s="43">
        <f>COUNTIF(R9:R43,"SFF")</f>
        <v>0</v>
      </c>
      <c r="S50" s="43">
        <f t="shared" ref="S50:AX50" si="95">COUNTIF(S9:S42,"SFF")</f>
        <v>0</v>
      </c>
      <c r="T50" s="43">
        <f t="shared" si="95"/>
        <v>0</v>
      </c>
      <c r="U50" s="43">
        <f t="shared" si="95"/>
        <v>0</v>
      </c>
      <c r="V50" s="43">
        <f t="shared" si="95"/>
        <v>0</v>
      </c>
      <c r="W50" s="43">
        <f t="shared" si="95"/>
        <v>0</v>
      </c>
      <c r="X50" s="43">
        <f t="shared" si="95"/>
        <v>0</v>
      </c>
      <c r="Y50" s="43">
        <f t="shared" si="95"/>
        <v>0</v>
      </c>
      <c r="Z50" s="43">
        <f t="shared" si="95"/>
        <v>0</v>
      </c>
      <c r="AA50" s="43">
        <f t="shared" si="95"/>
        <v>0</v>
      </c>
      <c r="AB50" s="43">
        <f t="shared" si="95"/>
        <v>0</v>
      </c>
      <c r="AC50" s="43">
        <f t="shared" si="95"/>
        <v>0</v>
      </c>
      <c r="AD50" s="43">
        <f t="shared" si="95"/>
        <v>0</v>
      </c>
      <c r="AE50" s="43">
        <f t="shared" si="95"/>
        <v>0</v>
      </c>
      <c r="AF50" s="43">
        <f t="shared" si="95"/>
        <v>0</v>
      </c>
      <c r="AG50" s="43">
        <f t="shared" si="95"/>
        <v>0</v>
      </c>
      <c r="AH50" s="43">
        <f t="shared" si="95"/>
        <v>0</v>
      </c>
      <c r="AI50" s="43">
        <f t="shared" si="95"/>
        <v>0</v>
      </c>
      <c r="AJ50" s="43">
        <f t="shared" si="95"/>
        <v>0</v>
      </c>
      <c r="AK50" s="43">
        <f t="shared" si="95"/>
        <v>0</v>
      </c>
      <c r="AL50" s="43">
        <f t="shared" si="95"/>
        <v>0</v>
      </c>
      <c r="AM50" s="43">
        <f t="shared" si="95"/>
        <v>0</v>
      </c>
      <c r="AN50" s="43">
        <f t="shared" si="95"/>
        <v>0</v>
      </c>
      <c r="AO50" s="43">
        <f t="shared" si="95"/>
        <v>0</v>
      </c>
      <c r="AP50" s="43">
        <f t="shared" si="95"/>
        <v>0</v>
      </c>
      <c r="AQ50" s="43">
        <f t="shared" si="95"/>
        <v>0</v>
      </c>
      <c r="AR50" s="43">
        <f t="shared" si="95"/>
        <v>0</v>
      </c>
      <c r="AS50" s="43">
        <f t="shared" si="95"/>
        <v>0</v>
      </c>
      <c r="AT50" s="43">
        <f t="shared" si="95"/>
        <v>0</v>
      </c>
      <c r="AU50" s="43">
        <f t="shared" si="95"/>
        <v>0</v>
      </c>
      <c r="AV50" s="43">
        <f t="shared" si="95"/>
        <v>0</v>
      </c>
      <c r="AW50" s="43">
        <f t="shared" si="95"/>
        <v>0</v>
      </c>
      <c r="AX50" s="43">
        <f t="shared" si="95"/>
        <v>0</v>
      </c>
      <c r="AY50" s="43">
        <f t="shared" ref="AY50:CD50" si="96">COUNTIF(AY9:AY42,"SFF")</f>
        <v>0</v>
      </c>
      <c r="AZ50" s="43">
        <f t="shared" si="96"/>
        <v>0</v>
      </c>
      <c r="BA50" s="43">
        <f t="shared" si="96"/>
        <v>0</v>
      </c>
      <c r="BB50" s="43">
        <f t="shared" si="96"/>
        <v>0</v>
      </c>
      <c r="BC50" s="43">
        <f t="shared" si="96"/>
        <v>0</v>
      </c>
      <c r="BD50" s="43">
        <f t="shared" si="96"/>
        <v>0</v>
      </c>
      <c r="BE50" s="43">
        <f t="shared" si="96"/>
        <v>0</v>
      </c>
      <c r="BF50" s="43">
        <f t="shared" si="96"/>
        <v>0</v>
      </c>
      <c r="BG50" s="43">
        <f t="shared" si="96"/>
        <v>0</v>
      </c>
      <c r="BH50" s="43">
        <f t="shared" si="96"/>
        <v>0</v>
      </c>
      <c r="BI50" s="43">
        <f t="shared" si="96"/>
        <v>0</v>
      </c>
      <c r="BJ50" s="43">
        <f t="shared" si="96"/>
        <v>0</v>
      </c>
      <c r="BK50" s="43">
        <f t="shared" si="96"/>
        <v>0</v>
      </c>
      <c r="BL50" s="43">
        <f t="shared" si="96"/>
        <v>0</v>
      </c>
      <c r="BM50" s="43">
        <f t="shared" si="96"/>
        <v>0</v>
      </c>
      <c r="BN50" s="43">
        <f t="shared" si="96"/>
        <v>0</v>
      </c>
      <c r="BO50" s="43">
        <f t="shared" si="96"/>
        <v>0</v>
      </c>
      <c r="BP50" s="43">
        <f t="shared" si="96"/>
        <v>0</v>
      </c>
      <c r="BQ50" s="43">
        <f t="shared" si="96"/>
        <v>0</v>
      </c>
      <c r="BR50" s="43">
        <f t="shared" si="96"/>
        <v>0</v>
      </c>
      <c r="BS50" s="43">
        <f t="shared" si="96"/>
        <v>0</v>
      </c>
      <c r="BT50" s="43">
        <f t="shared" si="96"/>
        <v>0</v>
      </c>
      <c r="BU50" s="43">
        <f t="shared" si="96"/>
        <v>0</v>
      </c>
      <c r="BV50" s="43">
        <f t="shared" si="96"/>
        <v>0</v>
      </c>
      <c r="BW50" s="43">
        <f t="shared" si="96"/>
        <v>0</v>
      </c>
      <c r="BX50" s="43">
        <f t="shared" si="96"/>
        <v>0</v>
      </c>
      <c r="BY50" s="43">
        <f t="shared" si="96"/>
        <v>0</v>
      </c>
      <c r="BZ50" s="43">
        <f t="shared" si="96"/>
        <v>0</v>
      </c>
      <c r="CA50" s="43">
        <f t="shared" si="96"/>
        <v>0</v>
      </c>
      <c r="CB50" s="43">
        <f t="shared" si="96"/>
        <v>0</v>
      </c>
      <c r="CC50" s="43">
        <f t="shared" si="96"/>
        <v>0</v>
      </c>
      <c r="CD50" s="43">
        <f t="shared" si="96"/>
        <v>0</v>
      </c>
      <c r="CE50" s="43">
        <f t="shared" ref="CE50:CW50" si="97">COUNTIF(CE9:CE42,"SFF")</f>
        <v>0</v>
      </c>
      <c r="CF50" s="43">
        <f t="shared" si="97"/>
        <v>0</v>
      </c>
      <c r="CG50" s="43">
        <f t="shared" si="97"/>
        <v>0</v>
      </c>
      <c r="CH50" s="43">
        <f t="shared" si="97"/>
        <v>0</v>
      </c>
      <c r="CI50" s="43">
        <f t="shared" si="97"/>
        <v>0</v>
      </c>
      <c r="CJ50" s="43">
        <f t="shared" si="97"/>
        <v>0</v>
      </c>
      <c r="CK50" s="43">
        <f t="shared" si="97"/>
        <v>0</v>
      </c>
      <c r="CL50" s="43">
        <f t="shared" si="97"/>
        <v>0</v>
      </c>
      <c r="CM50" s="43">
        <f t="shared" si="97"/>
        <v>0</v>
      </c>
      <c r="CN50" s="43">
        <f t="shared" si="97"/>
        <v>0</v>
      </c>
      <c r="CO50" s="43">
        <f t="shared" si="97"/>
        <v>0</v>
      </c>
      <c r="CP50" s="43">
        <f t="shared" si="97"/>
        <v>0</v>
      </c>
      <c r="CQ50" s="43">
        <f t="shared" si="97"/>
        <v>0</v>
      </c>
      <c r="CR50" s="43">
        <f t="shared" si="97"/>
        <v>0</v>
      </c>
      <c r="CS50" s="43">
        <f t="shared" si="97"/>
        <v>0</v>
      </c>
      <c r="CT50" s="43">
        <f t="shared" si="97"/>
        <v>0</v>
      </c>
      <c r="CU50" s="43">
        <f t="shared" si="97"/>
        <v>0</v>
      </c>
      <c r="CV50" s="43">
        <f t="shared" si="97"/>
        <v>0</v>
      </c>
      <c r="CW50" s="43">
        <f t="shared" si="97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98">CX50+CZ50+DB50+DD50+DF50+DH50+DJ50+DL50+DN50+DP50+DR50+DT50</f>
        <v>0</v>
      </c>
      <c r="DW50" s="38">
        <f t="shared" si="98"/>
        <v>0</v>
      </c>
    </row>
    <row r="51" spans="1:127" ht="15.75" customHeight="1">
      <c r="A51" s="73"/>
      <c r="B51" s="74"/>
      <c r="C51" s="75"/>
      <c r="D51" s="75"/>
      <c r="E51" s="75"/>
      <c r="F51" s="74"/>
      <c r="G51" s="171" t="s">
        <v>64</v>
      </c>
      <c r="H51" s="166"/>
      <c r="I51" s="166"/>
      <c r="J51" s="166"/>
      <c r="K51" s="166"/>
      <c r="L51" s="166"/>
      <c r="M51" s="167"/>
      <c r="N51" s="168" t="str">
        <f>N8</f>
        <v>RET</v>
      </c>
      <c r="O51" s="169"/>
      <c r="P51" s="43">
        <f>COUNTIF(P9:P43,"RET")</f>
        <v>0</v>
      </c>
      <c r="Q51" s="43">
        <f>COUNTIF(Q9:Q43,"RET")</f>
        <v>0</v>
      </c>
      <c r="R51" s="43">
        <f>COUNTIF(R9:R43,"RET")</f>
        <v>0</v>
      </c>
      <c r="S51" s="43">
        <f t="shared" ref="S51:AX51" si="99">COUNTIF(S9:S42,"RET")</f>
        <v>0</v>
      </c>
      <c r="T51" s="43">
        <f t="shared" si="99"/>
        <v>0</v>
      </c>
      <c r="U51" s="43">
        <f t="shared" si="99"/>
        <v>0</v>
      </c>
      <c r="V51" s="43">
        <f t="shared" si="99"/>
        <v>0</v>
      </c>
      <c r="W51" s="43">
        <f t="shared" si="99"/>
        <v>0</v>
      </c>
      <c r="X51" s="43">
        <f t="shared" si="99"/>
        <v>0</v>
      </c>
      <c r="Y51" s="43">
        <f t="shared" si="99"/>
        <v>0</v>
      </c>
      <c r="Z51" s="43">
        <f t="shared" si="99"/>
        <v>0</v>
      </c>
      <c r="AA51" s="43">
        <f t="shared" si="99"/>
        <v>0</v>
      </c>
      <c r="AB51" s="43">
        <f t="shared" si="99"/>
        <v>0</v>
      </c>
      <c r="AC51" s="43">
        <f t="shared" si="99"/>
        <v>0</v>
      </c>
      <c r="AD51" s="43">
        <f t="shared" si="99"/>
        <v>0</v>
      </c>
      <c r="AE51" s="43">
        <f t="shared" si="99"/>
        <v>0</v>
      </c>
      <c r="AF51" s="43">
        <f t="shared" si="99"/>
        <v>0</v>
      </c>
      <c r="AG51" s="43">
        <f t="shared" si="99"/>
        <v>0</v>
      </c>
      <c r="AH51" s="43">
        <f t="shared" si="99"/>
        <v>0</v>
      </c>
      <c r="AI51" s="43">
        <f t="shared" si="99"/>
        <v>0</v>
      </c>
      <c r="AJ51" s="43">
        <f t="shared" si="99"/>
        <v>0</v>
      </c>
      <c r="AK51" s="43">
        <f t="shared" si="99"/>
        <v>0</v>
      </c>
      <c r="AL51" s="43">
        <f t="shared" si="99"/>
        <v>0</v>
      </c>
      <c r="AM51" s="43">
        <f t="shared" si="99"/>
        <v>0</v>
      </c>
      <c r="AN51" s="43">
        <f t="shared" si="99"/>
        <v>0</v>
      </c>
      <c r="AO51" s="43">
        <f t="shared" si="99"/>
        <v>0</v>
      </c>
      <c r="AP51" s="43">
        <f t="shared" si="99"/>
        <v>0</v>
      </c>
      <c r="AQ51" s="43">
        <f t="shared" si="99"/>
        <v>0</v>
      </c>
      <c r="AR51" s="43">
        <f t="shared" si="99"/>
        <v>0</v>
      </c>
      <c r="AS51" s="43">
        <f t="shared" si="99"/>
        <v>0</v>
      </c>
      <c r="AT51" s="43">
        <f t="shared" si="99"/>
        <v>0</v>
      </c>
      <c r="AU51" s="43">
        <f t="shared" si="99"/>
        <v>0</v>
      </c>
      <c r="AV51" s="43">
        <f t="shared" si="99"/>
        <v>0</v>
      </c>
      <c r="AW51" s="43">
        <f t="shared" si="99"/>
        <v>0</v>
      </c>
      <c r="AX51" s="43">
        <f t="shared" si="99"/>
        <v>0</v>
      </c>
      <c r="AY51" s="43">
        <f t="shared" ref="AY51:CD51" si="100">COUNTIF(AY9:AY42,"RET")</f>
        <v>0</v>
      </c>
      <c r="AZ51" s="43">
        <f t="shared" si="100"/>
        <v>0</v>
      </c>
      <c r="BA51" s="43">
        <f t="shared" si="100"/>
        <v>0</v>
      </c>
      <c r="BB51" s="43">
        <f t="shared" si="100"/>
        <v>0</v>
      </c>
      <c r="BC51" s="43">
        <f t="shared" si="100"/>
        <v>0</v>
      </c>
      <c r="BD51" s="43">
        <f t="shared" si="100"/>
        <v>0</v>
      </c>
      <c r="BE51" s="43">
        <f t="shared" si="100"/>
        <v>0</v>
      </c>
      <c r="BF51" s="43">
        <f t="shared" si="100"/>
        <v>0</v>
      </c>
      <c r="BG51" s="43">
        <f t="shared" si="100"/>
        <v>0</v>
      </c>
      <c r="BH51" s="43">
        <f t="shared" si="100"/>
        <v>0</v>
      </c>
      <c r="BI51" s="43">
        <f t="shared" si="100"/>
        <v>0</v>
      </c>
      <c r="BJ51" s="43">
        <f t="shared" si="100"/>
        <v>0</v>
      </c>
      <c r="BK51" s="43">
        <f t="shared" si="100"/>
        <v>0</v>
      </c>
      <c r="BL51" s="43">
        <f t="shared" si="100"/>
        <v>0</v>
      </c>
      <c r="BM51" s="43">
        <f t="shared" si="100"/>
        <v>0</v>
      </c>
      <c r="BN51" s="43">
        <f t="shared" si="100"/>
        <v>0</v>
      </c>
      <c r="BO51" s="43">
        <f t="shared" si="100"/>
        <v>0</v>
      </c>
      <c r="BP51" s="43">
        <f t="shared" si="100"/>
        <v>0</v>
      </c>
      <c r="BQ51" s="43">
        <f t="shared" si="100"/>
        <v>0</v>
      </c>
      <c r="BR51" s="43">
        <f t="shared" si="100"/>
        <v>0</v>
      </c>
      <c r="BS51" s="43">
        <f t="shared" si="100"/>
        <v>0</v>
      </c>
      <c r="BT51" s="43">
        <f t="shared" si="100"/>
        <v>0</v>
      </c>
      <c r="BU51" s="43">
        <f t="shared" si="100"/>
        <v>0</v>
      </c>
      <c r="BV51" s="43">
        <f t="shared" si="100"/>
        <v>0</v>
      </c>
      <c r="BW51" s="43">
        <f t="shared" si="100"/>
        <v>0</v>
      </c>
      <c r="BX51" s="43">
        <f t="shared" si="100"/>
        <v>0</v>
      </c>
      <c r="BY51" s="43">
        <f t="shared" si="100"/>
        <v>0</v>
      </c>
      <c r="BZ51" s="43">
        <f t="shared" si="100"/>
        <v>0</v>
      </c>
      <c r="CA51" s="43">
        <f t="shared" si="100"/>
        <v>0</v>
      </c>
      <c r="CB51" s="43">
        <f t="shared" si="100"/>
        <v>0</v>
      </c>
      <c r="CC51" s="43">
        <f t="shared" si="100"/>
        <v>0</v>
      </c>
      <c r="CD51" s="43">
        <f t="shared" si="100"/>
        <v>0</v>
      </c>
      <c r="CE51" s="43">
        <f t="shared" ref="CE51:CW51" si="101">COUNTIF(CE9:CE42,"RET")</f>
        <v>0</v>
      </c>
      <c r="CF51" s="43">
        <f t="shared" si="101"/>
        <v>0</v>
      </c>
      <c r="CG51" s="43">
        <f t="shared" si="101"/>
        <v>0</v>
      </c>
      <c r="CH51" s="43">
        <f t="shared" si="101"/>
        <v>0</v>
      </c>
      <c r="CI51" s="43">
        <f t="shared" si="101"/>
        <v>0</v>
      </c>
      <c r="CJ51" s="43">
        <f t="shared" si="101"/>
        <v>0</v>
      </c>
      <c r="CK51" s="43">
        <f t="shared" si="101"/>
        <v>0</v>
      </c>
      <c r="CL51" s="43">
        <f t="shared" si="101"/>
        <v>0</v>
      </c>
      <c r="CM51" s="43">
        <f t="shared" si="101"/>
        <v>0</v>
      </c>
      <c r="CN51" s="43">
        <f t="shared" si="101"/>
        <v>0</v>
      </c>
      <c r="CO51" s="43">
        <f t="shared" si="101"/>
        <v>0</v>
      </c>
      <c r="CP51" s="43">
        <f t="shared" si="101"/>
        <v>0</v>
      </c>
      <c r="CQ51" s="43">
        <f t="shared" si="101"/>
        <v>0</v>
      </c>
      <c r="CR51" s="43">
        <f t="shared" si="101"/>
        <v>0</v>
      </c>
      <c r="CS51" s="43">
        <f t="shared" si="101"/>
        <v>0</v>
      </c>
      <c r="CT51" s="43">
        <f t="shared" si="101"/>
        <v>0</v>
      </c>
      <c r="CU51" s="43">
        <f t="shared" si="101"/>
        <v>0</v>
      </c>
      <c r="CV51" s="43">
        <f t="shared" si="101"/>
        <v>0</v>
      </c>
      <c r="CW51" s="43">
        <f t="shared" si="101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102">CX51+CZ51+DB51+DD51+DF51+DH51+DJ51+DL51+DN51+DP51+DR51+DT51</f>
        <v>0</v>
      </c>
      <c r="DW51" s="38">
        <f t="shared" si="102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6:C6"/>
    <mergeCell ref="G6:O7"/>
    <mergeCell ref="A7:C7"/>
    <mergeCell ref="G44:M44"/>
    <mergeCell ref="N44:O4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G49:M49"/>
    <mergeCell ref="N49:O49"/>
    <mergeCell ref="G50:M50"/>
    <mergeCell ref="N50:O50"/>
    <mergeCell ref="G51:M51"/>
    <mergeCell ref="N51:O5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3">
    <cfRule type="containsText" dxfId="80" priority="1" operator="containsText" text="RETIRADO">
      <formula>NOT(ISERROR(SEARCH(("RETIRADO"),(E9))))</formula>
    </cfRule>
  </conditionalFormatting>
  <conditionalFormatting sqref="E9:E43">
    <cfRule type="containsText" dxfId="79" priority="2" operator="containsText" text="EN FORMACIÓN">
      <formula>NOT(ISERROR(SEARCH(("EN FORMACIÓN"),(E9))))</formula>
    </cfRule>
  </conditionalFormatting>
  <conditionalFormatting sqref="F9:F43">
    <cfRule type="cellIs" dxfId="78" priority="3" operator="equal">
      <formula>"REVISAR FALTAS"</formula>
    </cfRule>
  </conditionalFormatting>
  <conditionalFormatting sqref="F9:F43">
    <cfRule type="cellIs" dxfId="77" priority="4" operator="equal">
      <formula>"CON FALTAS"</formula>
    </cfRule>
  </conditionalFormatting>
  <conditionalFormatting sqref="F9:F43">
    <cfRule type="cellIs" dxfId="76" priority="5" operator="equal">
      <formula>"FALTAS INTERMITENTES"</formula>
    </cfRule>
  </conditionalFormatting>
  <conditionalFormatting sqref="G8:N8 P9:CW43">
    <cfRule type="cellIs" dxfId="75" priority="6" operator="equal">
      <formula>"RET"</formula>
    </cfRule>
  </conditionalFormatting>
  <conditionalFormatting sqref="G8:N8 P9:CW43">
    <cfRule type="cellIs" dxfId="74" priority="7" operator="equal">
      <formula>"SFF"</formula>
    </cfRule>
  </conditionalFormatting>
  <conditionalFormatting sqref="G8:N8 P9:CW43">
    <cfRule type="cellIs" dxfId="73" priority="8" operator="equal">
      <formula>"CLM"</formula>
    </cfRule>
  </conditionalFormatting>
  <conditionalFormatting sqref="G8:N8">
    <cfRule type="cellIs" dxfId="72" priority="9" operator="equal">
      <formula>"LIC"</formula>
    </cfRule>
  </conditionalFormatting>
  <conditionalFormatting sqref="G8:N8 P9:CW43">
    <cfRule type="cellIs" dxfId="71" priority="10" operator="equal">
      <formula>"INC"</formula>
    </cfRule>
  </conditionalFormatting>
  <conditionalFormatting sqref="G8:N8 P9:CW43">
    <cfRule type="cellIs" dxfId="70" priority="11" operator="equal">
      <formula>"SE"</formula>
    </cfRule>
  </conditionalFormatting>
  <conditionalFormatting sqref="G8:N8 P9:CW43">
    <cfRule type="cellIs" dxfId="69" priority="12" operator="equal">
      <formula>"CE"</formula>
    </cfRule>
  </conditionalFormatting>
  <conditionalFormatting sqref="G8:N8 P9:CW43">
    <cfRule type="cellIs" dxfId="68" priority="13" operator="equal">
      <formula>"A"</formula>
    </cfRule>
  </conditionalFormatting>
  <conditionalFormatting sqref="P44:CW51 G9:O43">
    <cfRule type="cellIs" dxfId="67" priority="14" operator="equal">
      <formula>0</formula>
    </cfRule>
  </conditionalFormatting>
  <conditionalFormatting sqref="N44:O51">
    <cfRule type="cellIs" dxfId="66" priority="15" operator="equal">
      <formula>"RET"</formula>
    </cfRule>
  </conditionalFormatting>
  <conditionalFormatting sqref="N44:O51">
    <cfRule type="cellIs" dxfId="65" priority="16" operator="equal">
      <formula>"SFF"</formula>
    </cfRule>
  </conditionalFormatting>
  <conditionalFormatting sqref="N44:O51">
    <cfRule type="cellIs" dxfId="64" priority="17" operator="equal">
      <formula>"CLM"</formula>
    </cfRule>
  </conditionalFormatting>
  <conditionalFormatting sqref="N44:O51">
    <cfRule type="cellIs" dxfId="63" priority="18" operator="equal">
      <formula>"LIC"</formula>
    </cfRule>
  </conditionalFormatting>
  <conditionalFormatting sqref="N44:O51">
    <cfRule type="cellIs" dxfId="62" priority="19" operator="equal">
      <formula>"INC"</formula>
    </cfRule>
  </conditionalFormatting>
  <conditionalFormatting sqref="N44:O51">
    <cfRule type="cellIs" dxfId="61" priority="20" operator="equal">
      <formula>"SE"</formula>
    </cfRule>
  </conditionalFormatting>
  <conditionalFormatting sqref="N44:O51">
    <cfRule type="cellIs" dxfId="60" priority="21" operator="equal">
      <formula>"CE"</formula>
    </cfRule>
  </conditionalFormatting>
  <conditionalFormatting sqref="N44:O51">
    <cfRule type="cellIs" dxfId="59" priority="22" operator="equal">
      <formula>"A"</formula>
    </cfRule>
  </conditionalFormatting>
  <conditionalFormatting sqref="O9:O43">
    <cfRule type="cellIs" dxfId="58" priority="23" operator="greaterThan">
      <formula>0.4</formula>
    </cfRule>
  </conditionalFormatting>
  <conditionalFormatting sqref="O9:O43">
    <cfRule type="cellIs" dxfId="57" priority="24" operator="between">
      <formula>0.21</formula>
      <formula>0.4</formula>
    </cfRule>
  </conditionalFormatting>
  <conditionalFormatting sqref="O9:O43">
    <cfRule type="cellIs" dxfId="56" priority="25" operator="between">
      <formula>0</formula>
      <formula>0.2</formula>
    </cfRule>
  </conditionalFormatting>
  <conditionalFormatting sqref="P6:CW6">
    <cfRule type="containsText" dxfId="55" priority="26" operator="containsText" text="dic">
      <formula>NOT(ISERROR(SEARCH(("dic"),(P6))))</formula>
    </cfRule>
  </conditionalFormatting>
  <conditionalFormatting sqref="P6:CW6">
    <cfRule type="containsText" dxfId="54" priority="27" operator="containsText" text="oct">
      <formula>NOT(ISERROR(SEARCH(("oct"),(P6))))</formula>
    </cfRule>
  </conditionalFormatting>
  <conditionalFormatting sqref="P6:CW6">
    <cfRule type="containsText" dxfId="53" priority="28" operator="containsText" text="ago">
      <formula>NOT(ISERROR(SEARCH(("ago"),(P6))))</formula>
    </cfRule>
  </conditionalFormatting>
  <conditionalFormatting sqref="P6:CW6">
    <cfRule type="containsText" dxfId="52" priority="29" operator="containsText" text="jun">
      <formula>NOT(ISERROR(SEARCH(("jun"),(P6))))</formula>
    </cfRule>
  </conditionalFormatting>
  <conditionalFormatting sqref="P6:CW6">
    <cfRule type="containsText" dxfId="51" priority="30" operator="containsText" text="abr">
      <formula>NOT(ISERROR(SEARCH(("abr"),(P6))))</formula>
    </cfRule>
  </conditionalFormatting>
  <conditionalFormatting sqref="P6:CW6">
    <cfRule type="containsText" dxfId="50" priority="31" operator="containsText" text="feb">
      <formula>NOT(ISERROR(SEARCH(("feb"),(P6))))</formula>
    </cfRule>
  </conditionalFormatting>
  <conditionalFormatting sqref="P6:CW6">
    <cfRule type="containsText" dxfId="49" priority="32" operator="containsText" text="jul">
      <formula>NOT(ISERROR(SEARCH(("jul"),(P6))))</formula>
    </cfRule>
  </conditionalFormatting>
  <conditionalFormatting sqref="P6:CW6">
    <cfRule type="containsText" dxfId="48" priority="33" operator="containsText" text="nov">
      <formula>NOT(ISERROR(SEARCH(("nov"),(P6))))</formula>
    </cfRule>
  </conditionalFormatting>
  <conditionalFormatting sqref="P6:CW6">
    <cfRule type="containsText" dxfId="47" priority="34" operator="containsText" text="sep">
      <formula>NOT(ISERROR(SEARCH(("sep"),(P6))))</formula>
    </cfRule>
  </conditionalFormatting>
  <conditionalFormatting sqref="P6:CW6">
    <cfRule type="containsText" dxfId="46" priority="35" operator="containsText" text="may">
      <formula>NOT(ISERROR(SEARCH(("may"),(P6))))</formula>
    </cfRule>
  </conditionalFormatting>
  <conditionalFormatting sqref="P6:CW6">
    <cfRule type="containsText" dxfId="45" priority="36" operator="containsText" text="mar">
      <formula>NOT(ISERROR(SEARCH(("mar"),(P6))))</formula>
    </cfRule>
  </conditionalFormatting>
  <conditionalFormatting sqref="P6:CW6">
    <cfRule type="containsText" dxfId="44" priority="37" operator="containsText" text="ene">
      <formula>NOT(ISERROR(SEARCH(("ene"),(P6))))</formula>
    </cfRule>
  </conditionalFormatting>
  <conditionalFormatting sqref="P8:CW8">
    <cfRule type="cellIs" dxfId="43" priority="38" operator="equal">
      <formula>"Fest"</formula>
    </cfRule>
  </conditionalFormatting>
  <conditionalFormatting sqref="P8:CW8">
    <cfRule type="cellIs" dxfId="42" priority="39" operator="equal">
      <formula>"Rec"</formula>
    </cfRule>
  </conditionalFormatting>
  <conditionalFormatting sqref="P8:CW8">
    <cfRule type="cellIs" dxfId="41" priority="40" operator="equal">
      <formula>"S.S."</formula>
    </cfRule>
  </conditionalFormatting>
  <conditionalFormatting sqref="P9:CW43">
    <cfRule type="cellIs" dxfId="40" priority="44" operator="equal">
      <formula>"LIC"</formula>
    </cfRule>
  </conditionalFormatting>
  <conditionalFormatting sqref="CX7 CZ7 DB7 DD7 DF7 DH7 DJ7 DL7 DN7 DP7 DR7 DT7">
    <cfRule type="containsText" dxfId="39" priority="49" operator="containsText" text="dic">
      <formula>NOT(ISERROR(SEARCH(("dic"),(CX7))))</formula>
    </cfRule>
  </conditionalFormatting>
  <conditionalFormatting sqref="CX7 CZ7 DB7 DD7 DF7 DH7 DJ7 DL7 DN7 DP7 DR7 DT7">
    <cfRule type="containsText" dxfId="38" priority="50" operator="containsText" text="oct">
      <formula>NOT(ISERROR(SEARCH(("oct"),(CX7))))</formula>
    </cfRule>
  </conditionalFormatting>
  <conditionalFormatting sqref="CX7 CZ7 DB7 DD7 DF7 DH7 DJ7 DL7 DN7 DP7 DR7 DT7">
    <cfRule type="containsText" dxfId="37" priority="51" operator="containsText" text="ago">
      <formula>NOT(ISERROR(SEARCH(("ago"),(CX7))))</formula>
    </cfRule>
  </conditionalFormatting>
  <conditionalFormatting sqref="CX7 CZ7 DB7 DD7 DF7 DH7 DJ7 DL7 DN7 DP7 DR7 DT7">
    <cfRule type="containsText" dxfId="36" priority="52" operator="containsText" text="jun">
      <formula>NOT(ISERROR(SEARCH(("jun"),(CX7))))</formula>
    </cfRule>
  </conditionalFormatting>
  <conditionalFormatting sqref="CX7 CZ7 DB7 DD7 DF7 DH7 DJ7 DL7 DN7 DP7 DR7 DT7">
    <cfRule type="containsText" dxfId="35" priority="53" operator="containsText" text="abr">
      <formula>NOT(ISERROR(SEARCH(("abr"),(CX7))))</formula>
    </cfRule>
  </conditionalFormatting>
  <conditionalFormatting sqref="CX7 CZ7 DB7 DD7 DF7 DH7 DJ7 DL7 DN7 DP7 DR7 DT7">
    <cfRule type="containsText" dxfId="34" priority="54" operator="containsText" text="feb">
      <formula>NOT(ISERROR(SEARCH(("feb"),(CX7))))</formula>
    </cfRule>
  </conditionalFormatting>
  <conditionalFormatting sqref="CX7 CZ7 DB7 DD7 DF7 DH7 DJ7 DL7 DN7 DP7 DR7 DT7">
    <cfRule type="containsText" dxfId="33" priority="55" operator="containsText" text="jul">
      <formula>NOT(ISERROR(SEARCH(("jul"),(CX7))))</formula>
    </cfRule>
  </conditionalFormatting>
  <conditionalFormatting sqref="CX7 CZ7 DB7 DD7 DF7 DH7 DJ7 DL7 DN7 DP7 DR7 DT7">
    <cfRule type="containsText" dxfId="32" priority="56" operator="containsText" text="nov">
      <formula>NOT(ISERROR(SEARCH(("nov"),(CX7))))</formula>
    </cfRule>
  </conditionalFormatting>
  <conditionalFormatting sqref="CX7 CZ7 DB7 DD7 DF7 DH7 DJ7 DL7 DN7 DP7 DR7 DT7">
    <cfRule type="containsText" dxfId="31" priority="57" operator="containsText" text="sep">
      <formula>NOT(ISERROR(SEARCH(("sep"),(CX7))))</formula>
    </cfRule>
  </conditionalFormatting>
  <conditionalFormatting sqref="CX7 CZ7 DB7 DD7 DF7 DH7 DJ7 DL7 DN7 DP7 DR7 DT7">
    <cfRule type="containsText" dxfId="30" priority="58" operator="containsText" text="may">
      <formula>NOT(ISERROR(SEARCH(("may"),(CX7))))</formula>
    </cfRule>
  </conditionalFormatting>
  <conditionalFormatting sqref="CX7 CZ7 DB7 DD7 DF7 DH7 DJ7 DL7 DN7 DP7 DR7 DT7">
    <cfRule type="containsText" dxfId="29" priority="59" operator="containsText" text="mar">
      <formula>NOT(ISERROR(SEARCH(("mar"),(CX7))))</formula>
    </cfRule>
  </conditionalFormatting>
  <conditionalFormatting sqref="CX7 CZ7 DB7 DD7 DF7 DH7 DJ7 DL7 DN7 DP7 DR7 DT7">
    <cfRule type="containsText" dxfId="28" priority="60" operator="containsText" text="ene">
      <formula>NOT(ISERROR(SEARCH(("ene"),(CX7))))</formula>
    </cfRule>
  </conditionalFormatting>
  <conditionalFormatting sqref="CX8:DU8">
    <cfRule type="cellIs" dxfId="27" priority="61" operator="equal">
      <formula>"INC"</formula>
    </cfRule>
  </conditionalFormatting>
  <conditionalFormatting sqref="CX8:DU8">
    <cfRule type="cellIs" dxfId="26" priority="62" operator="equal">
      <formula>"CNC"</formula>
    </cfRule>
  </conditionalFormatting>
  <conditionalFormatting sqref="CX8:DU8">
    <cfRule type="cellIs" dxfId="25" priority="63" operator="equal">
      <formula>"SE"</formula>
    </cfRule>
  </conditionalFormatting>
  <conditionalFormatting sqref="CX8:DU8">
    <cfRule type="cellIs" dxfId="24" priority="64" operator="equal">
      <formula>"CE"</formula>
    </cfRule>
  </conditionalFormatting>
  <conditionalFormatting sqref="CX8:DU8">
    <cfRule type="cellIs" dxfId="23" priority="65" operator="equal">
      <formula>"A"</formula>
    </cfRule>
  </conditionalFormatting>
  <conditionalFormatting sqref="CX9:DW51">
    <cfRule type="cellIs" dxfId="22" priority="66" operator="equal">
      <formula>0</formula>
    </cfRule>
  </conditionalFormatting>
  <conditionalFormatting sqref="CY4 DJ4">
    <cfRule type="cellIs" dxfId="21" priority="67" operator="equal">
      <formula>"A"</formula>
    </cfRule>
  </conditionalFormatting>
  <conditionalFormatting sqref="CY4 DJ4">
    <cfRule type="cellIs" dxfId="20" priority="68" operator="equal">
      <formula>"INC"</formula>
    </cfRule>
  </conditionalFormatting>
  <conditionalFormatting sqref="CY4 DJ4">
    <cfRule type="cellIs" dxfId="19" priority="69" operator="equal">
      <formula>"CNC"</formula>
    </cfRule>
  </conditionalFormatting>
  <conditionalFormatting sqref="CY4 DJ4">
    <cfRule type="cellIs" dxfId="18" priority="70" operator="equal">
      <formula>"SE"</formula>
    </cfRule>
  </conditionalFormatting>
  <conditionalFormatting sqref="CY4 DJ4">
    <cfRule type="cellIs" dxfId="17" priority="71" operator="equal">
      <formula>"CE"</formula>
    </cfRule>
  </conditionalFormatting>
  <conditionalFormatting sqref="DV8:DW8">
    <cfRule type="cellIs" dxfId="16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ignoredErrors>
    <ignoredError sqref="I16 I25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opLeftCell="D13" workbookViewId="0">
      <selection activeCell="H25" sqref="H25"/>
    </sheetView>
  </sheetViews>
  <sheetFormatPr baseColWidth="10" defaultColWidth="11.25" defaultRowHeight="15" customHeight="1"/>
  <cols>
    <col min="1" max="1" width="6.2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9.375" customWidth="1"/>
    <col min="12" max="26" width="12.625" customWidth="1"/>
  </cols>
  <sheetData>
    <row r="1" spans="1:26" ht="14.25" customHeight="1">
      <c r="A1" s="212">
        <v>0</v>
      </c>
      <c r="B1" s="152"/>
      <c r="C1" s="152"/>
      <c r="D1" s="152"/>
      <c r="E1" s="152"/>
      <c r="F1" s="152"/>
      <c r="G1" s="152"/>
      <c r="H1" s="152"/>
      <c r="I1" s="152"/>
      <c r="J1" s="13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52"/>
      <c r="B2" s="152"/>
      <c r="C2" s="152"/>
      <c r="D2" s="152"/>
      <c r="E2" s="152"/>
      <c r="F2" s="152"/>
      <c r="G2" s="152"/>
      <c r="H2" s="152"/>
      <c r="I2" s="152"/>
      <c r="J2" s="13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206" t="s">
        <v>5</v>
      </c>
      <c r="B3" s="182"/>
      <c r="C3" s="213" t="s">
        <v>58</v>
      </c>
      <c r="D3" s="132"/>
      <c r="E3" s="182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206" t="s">
        <v>14</v>
      </c>
      <c r="B4" s="182"/>
      <c r="C4" s="214">
        <v>3414937</v>
      </c>
      <c r="D4" s="132"/>
      <c r="E4" s="182"/>
      <c r="F4" s="51" t="s">
        <v>65</v>
      </c>
      <c r="G4" s="52">
        <v>2</v>
      </c>
      <c r="H4" s="50" t="s">
        <v>66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206" t="s">
        <v>7</v>
      </c>
      <c r="B5" s="182"/>
      <c r="C5" s="211" t="s">
        <v>88</v>
      </c>
      <c r="D5" s="132"/>
      <c r="E5" s="182"/>
      <c r="F5" s="51" t="s">
        <v>67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206" t="s">
        <v>68</v>
      </c>
      <c r="B6" s="182"/>
      <c r="C6" s="207" t="s">
        <v>89</v>
      </c>
      <c r="D6" s="132"/>
      <c r="E6" s="182"/>
      <c r="F6" s="51" t="s">
        <v>69</v>
      </c>
      <c r="G6" s="54">
        <v>46086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206" t="s">
        <v>13</v>
      </c>
      <c r="B7" s="182"/>
      <c r="C7" s="208" t="s">
        <v>124</v>
      </c>
      <c r="D7" s="132"/>
      <c r="E7" s="182"/>
      <c r="F7" s="55" t="s">
        <v>70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 customHeight="1">
      <c r="A8" s="209" t="s">
        <v>71</v>
      </c>
      <c r="B8" s="182"/>
      <c r="C8" s="210" t="s">
        <v>90</v>
      </c>
      <c r="D8" s="132"/>
      <c r="E8" s="132"/>
      <c r="F8" s="132"/>
      <c r="G8" s="182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38.25" customHeight="1">
      <c r="A9" s="57" t="s">
        <v>32</v>
      </c>
      <c r="B9" s="58" t="s">
        <v>347</v>
      </c>
      <c r="C9" s="58" t="s">
        <v>351</v>
      </c>
      <c r="D9" s="58" t="s">
        <v>350</v>
      </c>
      <c r="E9" s="58" t="s">
        <v>72</v>
      </c>
      <c r="F9" s="58" t="s">
        <v>73</v>
      </c>
      <c r="G9" s="58" t="s">
        <v>74</v>
      </c>
      <c r="H9" s="58" t="s">
        <v>75</v>
      </c>
      <c r="I9" s="58" t="s">
        <v>348</v>
      </c>
      <c r="J9" s="58" t="s">
        <v>76</v>
      </c>
      <c r="K9" s="58" t="s">
        <v>349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79" t="s">
        <v>108</v>
      </c>
      <c r="C10" s="95" t="s">
        <v>126</v>
      </c>
      <c r="D10" s="82">
        <v>1146324092</v>
      </c>
      <c r="E10" s="96"/>
      <c r="F10" s="112" t="s">
        <v>127</v>
      </c>
      <c r="G10" s="82">
        <v>3125130544</v>
      </c>
      <c r="H10" s="84" t="s">
        <v>161</v>
      </c>
      <c r="I10" s="82" t="s">
        <v>162</v>
      </c>
      <c r="J10" s="82">
        <v>3202374206</v>
      </c>
      <c r="K10" s="119" t="s">
        <v>163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4" si="0">A10+1</f>
        <v>2</v>
      </c>
      <c r="B11" s="81" t="s">
        <v>91</v>
      </c>
      <c r="C11" s="95" t="s">
        <v>126</v>
      </c>
      <c r="D11" s="83">
        <v>1049625777</v>
      </c>
      <c r="E11" s="96"/>
      <c r="F11" s="114" t="s">
        <v>128</v>
      </c>
      <c r="G11" s="83">
        <v>3209863424</v>
      </c>
      <c r="H11" s="85" t="s">
        <v>164</v>
      </c>
      <c r="I11" s="83" t="s">
        <v>128</v>
      </c>
      <c r="J11" s="83">
        <v>3227514682</v>
      </c>
      <c r="K11" s="98" t="s">
        <v>165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79" t="s">
        <v>92</v>
      </c>
      <c r="C12" s="95" t="s">
        <v>126</v>
      </c>
      <c r="D12" s="82">
        <v>1028869421</v>
      </c>
      <c r="E12" s="96"/>
      <c r="F12" s="112" t="s">
        <v>129</v>
      </c>
      <c r="G12" s="82" t="s">
        <v>166</v>
      </c>
      <c r="H12" s="84" t="s">
        <v>167</v>
      </c>
      <c r="I12" s="82" t="s">
        <v>168</v>
      </c>
      <c r="J12" s="82" t="s">
        <v>169</v>
      </c>
      <c r="K12" s="119" t="s">
        <v>170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81" t="s">
        <v>109</v>
      </c>
      <c r="C13" s="95" t="s">
        <v>126</v>
      </c>
      <c r="D13" s="83">
        <v>1016955582</v>
      </c>
      <c r="E13" s="99"/>
      <c r="F13" s="114" t="s">
        <v>130</v>
      </c>
      <c r="G13" s="83">
        <v>3332680011</v>
      </c>
      <c r="H13" s="85" t="s">
        <v>171</v>
      </c>
      <c r="I13" s="83" t="s">
        <v>172</v>
      </c>
      <c r="J13" s="83">
        <v>3123475761</v>
      </c>
      <c r="K13" s="98" t="s">
        <v>173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8">
        <f t="shared" si="0"/>
        <v>5</v>
      </c>
      <c r="B14" s="88" t="s">
        <v>110</v>
      </c>
      <c r="C14" s="100" t="s">
        <v>126</v>
      </c>
      <c r="D14" s="89">
        <v>1141718150</v>
      </c>
      <c r="E14" s="101"/>
      <c r="F14" s="115" t="s">
        <v>131</v>
      </c>
      <c r="G14" s="89">
        <v>3209991933</v>
      </c>
      <c r="H14" s="90" t="s">
        <v>174</v>
      </c>
      <c r="I14" s="89" t="s">
        <v>175</v>
      </c>
      <c r="J14" s="89">
        <v>3003377321</v>
      </c>
      <c r="K14" s="102" t="s">
        <v>176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5.75" customHeight="1">
      <c r="A15" s="80">
        <f t="shared" si="0"/>
        <v>6</v>
      </c>
      <c r="B15" s="103" t="s">
        <v>268</v>
      </c>
      <c r="C15" s="104" t="s">
        <v>125</v>
      </c>
      <c r="D15" s="103">
        <v>7851588</v>
      </c>
      <c r="E15" s="103"/>
      <c r="F15" s="116" t="s">
        <v>269</v>
      </c>
      <c r="G15" s="103">
        <v>3106798113</v>
      </c>
      <c r="H15" s="103" t="s">
        <v>270</v>
      </c>
      <c r="I15" s="106" t="s">
        <v>271</v>
      </c>
      <c r="J15" s="103">
        <v>3232808330</v>
      </c>
      <c r="K15" s="105" t="s">
        <v>272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91">
        <f t="shared" si="0"/>
        <v>7</v>
      </c>
      <c r="B16" s="92" t="s">
        <v>93</v>
      </c>
      <c r="C16" s="107" t="s">
        <v>126</v>
      </c>
      <c r="D16" s="93">
        <v>1141719253</v>
      </c>
      <c r="E16" s="108"/>
      <c r="F16" s="117" t="s">
        <v>132</v>
      </c>
      <c r="G16" s="93">
        <v>3175668492</v>
      </c>
      <c r="H16" s="94" t="s">
        <v>177</v>
      </c>
      <c r="I16" s="93" t="s">
        <v>178</v>
      </c>
      <c r="J16" s="93">
        <v>3206101891</v>
      </c>
      <c r="K16" s="109" t="s">
        <v>179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79" t="s">
        <v>111</v>
      </c>
      <c r="C17" s="95" t="s">
        <v>126</v>
      </c>
      <c r="D17" s="82">
        <v>1066736644</v>
      </c>
      <c r="E17" s="96"/>
      <c r="F17" s="112" t="s">
        <v>133</v>
      </c>
      <c r="G17" s="82">
        <v>3134414768</v>
      </c>
      <c r="H17" s="84" t="s">
        <v>180</v>
      </c>
      <c r="I17" s="82" t="s">
        <v>181</v>
      </c>
      <c r="J17" s="82">
        <v>3106133104</v>
      </c>
      <c r="K17" s="97" t="s">
        <v>182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81" t="s">
        <v>112</v>
      </c>
      <c r="C18" s="95" t="s">
        <v>126</v>
      </c>
      <c r="D18" s="83">
        <v>1142518342</v>
      </c>
      <c r="E18" s="96"/>
      <c r="F18" s="114" t="s">
        <v>134</v>
      </c>
      <c r="G18" s="83">
        <v>3058158628</v>
      </c>
      <c r="H18" s="85" t="s">
        <v>183</v>
      </c>
      <c r="I18" s="83" t="s">
        <v>184</v>
      </c>
      <c r="J18" s="83">
        <v>3142727863</v>
      </c>
      <c r="K18" s="120" t="s">
        <v>185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79" t="s">
        <v>94</v>
      </c>
      <c r="C19" s="95" t="s">
        <v>126</v>
      </c>
      <c r="D19" s="82">
        <v>1014238336</v>
      </c>
      <c r="E19" s="96"/>
      <c r="F19" s="112" t="s">
        <v>135</v>
      </c>
      <c r="G19" s="82">
        <v>3143765525</v>
      </c>
      <c r="H19" s="84" t="s">
        <v>186</v>
      </c>
      <c r="I19" s="82" t="s">
        <v>187</v>
      </c>
      <c r="J19" s="82">
        <v>3223772343</v>
      </c>
      <c r="K19" s="97" t="s">
        <v>188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81" t="s">
        <v>113</v>
      </c>
      <c r="C20" s="95" t="s">
        <v>126</v>
      </c>
      <c r="D20" s="83">
        <v>1013009001</v>
      </c>
      <c r="E20" s="96"/>
      <c r="F20" s="114" t="s">
        <v>136</v>
      </c>
      <c r="G20" s="83">
        <v>3125925617</v>
      </c>
      <c r="H20" s="85" t="s">
        <v>189</v>
      </c>
      <c r="I20" s="83" t="s">
        <v>190</v>
      </c>
      <c r="J20" s="83">
        <v>3123343041</v>
      </c>
      <c r="K20" s="120" t="s">
        <v>191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79" t="s">
        <v>95</v>
      </c>
      <c r="C21" s="95" t="s">
        <v>126</v>
      </c>
      <c r="D21" s="82">
        <v>1013271513</v>
      </c>
      <c r="E21" s="110"/>
      <c r="F21" s="112" t="s">
        <v>137</v>
      </c>
      <c r="G21" s="82">
        <v>3245598014</v>
      </c>
      <c r="H21" s="84" t="s">
        <v>192</v>
      </c>
      <c r="I21" s="82" t="s">
        <v>193</v>
      </c>
      <c r="J21" s="82">
        <v>3012357736</v>
      </c>
      <c r="K21" s="119" t="s">
        <v>194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81" t="s">
        <v>96</v>
      </c>
      <c r="C22" s="95" t="s">
        <v>126</v>
      </c>
      <c r="D22" s="83">
        <v>1014225534</v>
      </c>
      <c r="E22" s="110"/>
      <c r="F22" s="114" t="s">
        <v>138</v>
      </c>
      <c r="G22" s="83" t="s">
        <v>195</v>
      </c>
      <c r="H22" s="85" t="s">
        <v>196</v>
      </c>
      <c r="I22" s="83" t="s">
        <v>197</v>
      </c>
      <c r="J22" s="83">
        <v>3204388814</v>
      </c>
      <c r="K22" s="98" t="s">
        <v>198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79" t="s">
        <v>114</v>
      </c>
      <c r="C23" s="95" t="s">
        <v>125</v>
      </c>
      <c r="D23" s="82">
        <v>1140823645</v>
      </c>
      <c r="E23" s="110"/>
      <c r="F23" s="112" t="s">
        <v>139</v>
      </c>
      <c r="G23" s="82">
        <v>3219953925</v>
      </c>
      <c r="H23" s="84" t="s">
        <v>199</v>
      </c>
      <c r="I23" s="82" t="s">
        <v>200</v>
      </c>
      <c r="J23" s="82">
        <v>3013806606</v>
      </c>
      <c r="K23" s="97" t="s">
        <v>201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81" t="s">
        <v>97</v>
      </c>
      <c r="C24" s="95" t="s">
        <v>126</v>
      </c>
      <c r="D24" s="83">
        <v>1016957094</v>
      </c>
      <c r="E24" s="96"/>
      <c r="F24" s="114" t="s">
        <v>140</v>
      </c>
      <c r="G24" s="83">
        <v>3115869386</v>
      </c>
      <c r="H24" s="85" t="s">
        <v>202</v>
      </c>
      <c r="I24" s="83" t="s">
        <v>203</v>
      </c>
      <c r="J24" s="83">
        <v>3133278265</v>
      </c>
      <c r="K24" s="98" t="s">
        <v>204</v>
      </c>
      <c r="L24" s="48"/>
      <c r="M24" s="48" t="s">
        <v>355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79" t="s">
        <v>98</v>
      </c>
      <c r="C25" s="95" t="s">
        <v>126</v>
      </c>
      <c r="D25" s="82">
        <v>1087819083</v>
      </c>
      <c r="E25" s="99"/>
      <c r="F25" s="112" t="s">
        <v>141</v>
      </c>
      <c r="G25" s="82">
        <v>3107973644</v>
      </c>
      <c r="H25" s="84" t="s">
        <v>205</v>
      </c>
      <c r="I25" s="121" t="s">
        <v>206</v>
      </c>
      <c r="J25" s="82">
        <v>3156888324</v>
      </c>
      <c r="K25" s="97" t="s">
        <v>207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81" t="s">
        <v>115</v>
      </c>
      <c r="C26" s="95" t="s">
        <v>126</v>
      </c>
      <c r="D26" s="83">
        <v>1145226076</v>
      </c>
      <c r="E26" s="96"/>
      <c r="F26" s="114" t="s">
        <v>142</v>
      </c>
      <c r="G26" s="83">
        <v>3053898063</v>
      </c>
      <c r="H26" s="85" t="s">
        <v>208</v>
      </c>
      <c r="I26" s="83" t="s">
        <v>209</v>
      </c>
      <c r="J26" s="83">
        <v>3102678190</v>
      </c>
      <c r="K26" s="98" t="s">
        <v>210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79" t="s">
        <v>116</v>
      </c>
      <c r="C27" s="95" t="s">
        <v>126</v>
      </c>
      <c r="D27" s="82">
        <v>1010842416</v>
      </c>
      <c r="E27" s="96"/>
      <c r="F27" s="112" t="s">
        <v>143</v>
      </c>
      <c r="G27" s="82">
        <v>3103301923</v>
      </c>
      <c r="H27" s="84" t="s">
        <v>211</v>
      </c>
      <c r="I27" s="82" t="s">
        <v>212</v>
      </c>
      <c r="J27" s="82">
        <v>3132220350</v>
      </c>
      <c r="K27" s="97" t="s">
        <v>213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81" t="s">
        <v>337</v>
      </c>
      <c r="C28" s="95" t="s">
        <v>126</v>
      </c>
      <c r="D28" s="83">
        <v>1043012569</v>
      </c>
      <c r="E28" s="110"/>
      <c r="F28" s="114" t="s">
        <v>144</v>
      </c>
      <c r="G28" s="83">
        <v>3244789878</v>
      </c>
      <c r="H28" s="85" t="s">
        <v>214</v>
      </c>
      <c r="I28" s="83" t="s">
        <v>215</v>
      </c>
      <c r="J28" s="83">
        <v>3108526915</v>
      </c>
      <c r="K28" s="120" t="s">
        <v>216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79" t="s">
        <v>117</v>
      </c>
      <c r="C29" s="95" t="s">
        <v>126</v>
      </c>
      <c r="D29" s="82">
        <v>1028492444</v>
      </c>
      <c r="E29" s="110"/>
      <c r="F29" s="112" t="s">
        <v>145</v>
      </c>
      <c r="G29" s="82">
        <v>3006266843</v>
      </c>
      <c r="H29" s="84" t="s">
        <v>217</v>
      </c>
      <c r="I29" s="82" t="s">
        <v>218</v>
      </c>
      <c r="J29" s="82">
        <v>3122541643</v>
      </c>
      <c r="K29" s="119" t="s">
        <v>219</v>
      </c>
      <c r="L29" s="48"/>
      <c r="M29" s="48" t="s">
        <v>354</v>
      </c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81" t="s">
        <v>99</v>
      </c>
      <c r="C30" s="95" t="s">
        <v>126</v>
      </c>
      <c r="D30" s="83">
        <v>1140420067</v>
      </c>
      <c r="E30" s="96"/>
      <c r="F30" s="114" t="s">
        <v>146</v>
      </c>
      <c r="G30" s="83">
        <v>3112260368</v>
      </c>
      <c r="H30" s="85" t="s">
        <v>220</v>
      </c>
      <c r="I30" s="83" t="s">
        <v>221</v>
      </c>
      <c r="J30" s="83">
        <v>3112606972</v>
      </c>
      <c r="K30" s="120" t="s">
        <v>222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79" t="s">
        <v>100</v>
      </c>
      <c r="C31" s="95" t="s">
        <v>126</v>
      </c>
      <c r="D31" s="82">
        <v>1070391413</v>
      </c>
      <c r="E31" s="111"/>
      <c r="F31" s="112" t="s">
        <v>147</v>
      </c>
      <c r="G31" s="82">
        <v>3133944890</v>
      </c>
      <c r="H31" s="84" t="s">
        <v>223</v>
      </c>
      <c r="I31" s="82" t="s">
        <v>224</v>
      </c>
      <c r="J31" s="82" t="s">
        <v>225</v>
      </c>
      <c r="K31" s="97" t="s">
        <v>226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81" t="s">
        <v>101</v>
      </c>
      <c r="C32" s="95" t="s">
        <v>126</v>
      </c>
      <c r="D32" s="83">
        <v>1143139345</v>
      </c>
      <c r="E32" s="111"/>
      <c r="F32" s="114" t="s">
        <v>148</v>
      </c>
      <c r="G32" s="83">
        <v>3114180744</v>
      </c>
      <c r="H32" s="85" t="s">
        <v>227</v>
      </c>
      <c r="I32" s="83" t="s">
        <v>228</v>
      </c>
      <c r="J32" s="83">
        <v>3177930229</v>
      </c>
      <c r="K32" s="98" t="s">
        <v>229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79" t="s">
        <v>118</v>
      </c>
      <c r="C33" s="95" t="s">
        <v>126</v>
      </c>
      <c r="D33" s="82">
        <v>1141719616</v>
      </c>
      <c r="E33" s="111"/>
      <c r="F33" s="112" t="s">
        <v>149</v>
      </c>
      <c r="G33" s="82">
        <v>3227233133</v>
      </c>
      <c r="H33" s="84" t="s">
        <v>230</v>
      </c>
      <c r="I33" s="82" t="s">
        <v>231</v>
      </c>
      <c r="J33" s="82">
        <v>3124561298</v>
      </c>
      <c r="K33" s="119" t="s">
        <v>232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81" t="s">
        <v>102</v>
      </c>
      <c r="C34" s="95" t="s">
        <v>126</v>
      </c>
      <c r="D34" s="83">
        <v>1018445509</v>
      </c>
      <c r="E34" s="96"/>
      <c r="F34" s="114" t="s">
        <v>150</v>
      </c>
      <c r="G34" s="83" t="s">
        <v>233</v>
      </c>
      <c r="H34" s="85" t="s">
        <v>234</v>
      </c>
      <c r="I34" s="83" t="s">
        <v>235</v>
      </c>
      <c r="J34" s="83" t="s">
        <v>236</v>
      </c>
      <c r="K34" s="98" t="s">
        <v>237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81" t="s">
        <v>103</v>
      </c>
      <c r="C35" s="95" t="s">
        <v>126</v>
      </c>
      <c r="D35" s="83">
        <v>1028869689</v>
      </c>
      <c r="E35" s="110"/>
      <c r="F35" s="114" t="s">
        <v>151</v>
      </c>
      <c r="G35" s="83">
        <v>3001234270</v>
      </c>
      <c r="H35" s="85" t="s">
        <v>238</v>
      </c>
      <c r="I35" s="83" t="s">
        <v>239</v>
      </c>
      <c r="J35" s="83">
        <v>3004644488</v>
      </c>
      <c r="K35" s="98" t="s">
        <v>240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79" t="s">
        <v>104</v>
      </c>
      <c r="C36" s="95" t="s">
        <v>126</v>
      </c>
      <c r="D36" s="82">
        <v>8164836</v>
      </c>
      <c r="E36" s="96"/>
      <c r="F36" s="112" t="s">
        <v>152</v>
      </c>
      <c r="G36" s="82">
        <v>3213697058</v>
      </c>
      <c r="H36" s="84" t="s">
        <v>241</v>
      </c>
      <c r="I36" s="82" t="s">
        <v>242</v>
      </c>
      <c r="J36" s="82">
        <v>3105570525</v>
      </c>
      <c r="K36" s="97" t="s">
        <v>243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81" t="s">
        <v>119</v>
      </c>
      <c r="C37" s="95" t="s">
        <v>126</v>
      </c>
      <c r="D37" s="83">
        <v>1142114341</v>
      </c>
      <c r="E37" s="110"/>
      <c r="F37" s="114" t="s">
        <v>153</v>
      </c>
      <c r="G37" s="83">
        <v>3058979730</v>
      </c>
      <c r="H37" s="85" t="s">
        <v>244</v>
      </c>
      <c r="I37" s="83" t="s">
        <v>245</v>
      </c>
      <c r="J37" s="83">
        <v>3102466978</v>
      </c>
      <c r="K37" s="98" t="s">
        <v>246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79" t="s">
        <v>105</v>
      </c>
      <c r="C38" s="95" t="s">
        <v>126</v>
      </c>
      <c r="D38" s="82">
        <v>1141122926</v>
      </c>
      <c r="E38" s="110"/>
      <c r="F38" s="112" t="s">
        <v>154</v>
      </c>
      <c r="G38" s="82">
        <v>3013261205</v>
      </c>
      <c r="H38" s="84" t="s">
        <v>247</v>
      </c>
      <c r="I38" s="82" t="s">
        <v>248</v>
      </c>
      <c r="J38" s="82">
        <v>3012266057</v>
      </c>
      <c r="K38" s="97" t="s">
        <v>249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81" t="s">
        <v>120</v>
      </c>
      <c r="C39" s="95" t="s">
        <v>126</v>
      </c>
      <c r="D39" s="83">
        <v>1016956929</v>
      </c>
      <c r="E39" s="110"/>
      <c r="F39" s="114" t="s">
        <v>155</v>
      </c>
      <c r="G39" s="83">
        <v>3505450284</v>
      </c>
      <c r="H39" s="85" t="s">
        <v>250</v>
      </c>
      <c r="I39" s="83" t="s">
        <v>251</v>
      </c>
      <c r="J39" s="83">
        <v>3505450284</v>
      </c>
      <c r="K39" s="120" t="s">
        <v>252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79" t="s">
        <v>106</v>
      </c>
      <c r="C40" s="95" t="s">
        <v>126</v>
      </c>
      <c r="D40" s="82">
        <v>1033749474</v>
      </c>
      <c r="E40" s="96"/>
      <c r="F40" s="112" t="s">
        <v>156</v>
      </c>
      <c r="G40" s="82">
        <v>3161409373</v>
      </c>
      <c r="H40" s="84" t="s">
        <v>253</v>
      </c>
      <c r="I40" s="82" t="s">
        <v>254</v>
      </c>
      <c r="J40" s="82">
        <v>3002507733</v>
      </c>
      <c r="K40" s="97" t="s">
        <v>255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81" t="s">
        <v>121</v>
      </c>
      <c r="C41" s="95" t="s">
        <v>126</v>
      </c>
      <c r="D41" s="83">
        <v>1031817514</v>
      </c>
      <c r="E41" s="96"/>
      <c r="F41" s="114" t="s">
        <v>157</v>
      </c>
      <c r="G41" s="83">
        <v>3022125060</v>
      </c>
      <c r="H41" s="85" t="s">
        <v>256</v>
      </c>
      <c r="I41" s="83" t="s">
        <v>257</v>
      </c>
      <c r="J41" s="83">
        <v>3123423032</v>
      </c>
      <c r="K41" s="98" t="s">
        <v>258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6.25" customHeight="1">
      <c r="A42" s="77">
        <f t="shared" si="0"/>
        <v>33</v>
      </c>
      <c r="B42" s="81" t="s">
        <v>290</v>
      </c>
      <c r="C42" s="95" t="s">
        <v>126</v>
      </c>
      <c r="D42" s="83">
        <v>1033105704</v>
      </c>
      <c r="E42" s="96"/>
      <c r="F42" s="114" t="s">
        <v>158</v>
      </c>
      <c r="G42" s="83">
        <v>3115714163</v>
      </c>
      <c r="H42" s="85" t="s">
        <v>259</v>
      </c>
      <c r="I42" s="83" t="s">
        <v>260</v>
      </c>
      <c r="J42" s="83">
        <v>3507800001</v>
      </c>
      <c r="K42" s="98" t="s">
        <v>261</v>
      </c>
      <c r="L42" s="48"/>
      <c r="M42" s="48" t="s">
        <v>353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7">
        <f t="shared" si="0"/>
        <v>34</v>
      </c>
      <c r="B43" s="79" t="s">
        <v>107</v>
      </c>
      <c r="C43" s="95" t="s">
        <v>125</v>
      </c>
      <c r="D43" s="82">
        <v>7938528</v>
      </c>
      <c r="E43" s="96"/>
      <c r="F43" s="112" t="s">
        <v>159</v>
      </c>
      <c r="G43" s="82">
        <v>3002890506</v>
      </c>
      <c r="H43" s="84" t="s">
        <v>262</v>
      </c>
      <c r="I43" s="82" t="s">
        <v>263</v>
      </c>
      <c r="J43" s="82" t="s">
        <v>264</v>
      </c>
      <c r="K43" s="119" t="s">
        <v>265</v>
      </c>
      <c r="L43" s="48"/>
      <c r="M43" s="48" t="s">
        <v>352</v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77">
        <f t="shared" si="0"/>
        <v>35</v>
      </c>
      <c r="B44" s="81" t="s">
        <v>122</v>
      </c>
      <c r="C44" s="95" t="s">
        <v>126</v>
      </c>
      <c r="D44" s="83">
        <v>1019998705</v>
      </c>
      <c r="E44" s="96"/>
      <c r="F44" s="114" t="s">
        <v>160</v>
      </c>
      <c r="G44" s="83">
        <v>3203357179</v>
      </c>
      <c r="H44" s="85" t="s">
        <v>266</v>
      </c>
      <c r="I44" s="83" t="s">
        <v>160</v>
      </c>
      <c r="J44" s="83">
        <v>3113179725</v>
      </c>
      <c r="K44" s="98" t="s">
        <v>267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5.75" customHeight="1">
      <c r="A45" s="86"/>
      <c r="B45" s="48"/>
      <c r="C45" s="47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6"/>
      <c r="B46" s="48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15.75" customHeight="1">
      <c r="A47" s="86"/>
      <c r="B47" s="48"/>
      <c r="C47" s="47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6"/>
      <c r="B48" s="48"/>
      <c r="C48" s="47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6"/>
      <c r="B49" s="48"/>
      <c r="C49" s="47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7"/>
      <c r="B50" s="48"/>
      <c r="C50" s="47"/>
      <c r="D50" s="48"/>
      <c r="E50" s="48"/>
      <c r="F50" s="48" t="s">
        <v>77</v>
      </c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60"/>
      <c r="B51" s="48"/>
      <c r="C51" s="47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" customHeight="1">
      <c r="A999" s="60"/>
      <c r="C999" s="47"/>
    </row>
    <row r="1000" spans="1:3" ht="15" customHeight="1">
      <c r="A1000" s="60"/>
      <c r="C1000" s="47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5:B49">
    <cfRule type="expression" dxfId="15" priority="1">
      <formula>OR($P45=#REF!,#REF!=#REF!,#REF!=#REF!)</formula>
    </cfRule>
  </conditionalFormatting>
  <conditionalFormatting sqref="B45:B1000">
    <cfRule type="expression" dxfId="14" priority="2">
      <formula>OR(#REF!=#REF!,#REF!=#REF!,#REF!=#REF!)</formula>
    </cfRule>
  </conditionalFormatting>
  <conditionalFormatting sqref="B45:B1000">
    <cfRule type="expression" dxfId="13" priority="3">
      <formula>OR(#REF!=#REF!,#REF!=#REF!,#REF!=#REF!)</formula>
    </cfRule>
  </conditionalFormatting>
  <conditionalFormatting sqref="B45:B1000">
    <cfRule type="expression" dxfId="12" priority="4">
      <formula>OR(#REF!=#REF!,#REF!=#REF!,#REF!=#REF!)</formula>
    </cfRule>
  </conditionalFormatting>
  <conditionalFormatting sqref="B45:B1000">
    <cfRule type="expression" dxfId="11" priority="5">
      <formula>OR(#REF!=#REF!,#REF!=#REF!,#REF!=#REF!)</formula>
    </cfRule>
  </conditionalFormatting>
  <conditionalFormatting sqref="B45:B49">
    <cfRule type="expression" dxfId="10" priority="6">
      <formula>OR($R45=#REF!,#REF!=#REF!,#REF!=#REF!)</formula>
    </cfRule>
  </conditionalFormatting>
  <conditionalFormatting sqref="B45:B1000">
    <cfRule type="expression" dxfId="9" priority="7">
      <formula>OR(#REF!=#REF!,#REF!=#REF!,#REF!=#REF!)</formula>
    </cfRule>
  </conditionalFormatting>
  <conditionalFormatting sqref="B45:B49">
    <cfRule type="expression" dxfId="8" priority="8">
      <formula>OR($P45=#REF!,#REF!=#REF!,#REF!=#REF!)</formula>
    </cfRule>
  </conditionalFormatting>
  <conditionalFormatting sqref="B45:B1000">
    <cfRule type="expression" dxfId="7" priority="9">
      <formula>OR(#REF!=#REF!,#REF!=#REF!,#REF!=#REF!)</formula>
    </cfRule>
  </conditionalFormatting>
  <conditionalFormatting sqref="B45:B1000">
    <cfRule type="expression" dxfId="6" priority="10">
      <formula>OR(#REF!=#REF!,#REF!=#REF!,#REF!=#REF!)</formula>
    </cfRule>
  </conditionalFormatting>
  <conditionalFormatting sqref="B45:B1000">
    <cfRule type="expression" dxfId="5" priority="11">
      <formula>OR(#REF!=#REF!,#REF!=#REF!,#REF!=#REF!)</formula>
    </cfRule>
  </conditionalFormatting>
  <conditionalFormatting sqref="B45:B49">
    <cfRule type="expression" dxfId="4" priority="13">
      <formula>OR($P45=#REF!,#REF!=#REF!,#REF!=#REF!)</formula>
    </cfRule>
  </conditionalFormatting>
  <conditionalFormatting sqref="B50:B1000">
    <cfRule type="expression" dxfId="3" priority="74">
      <formula>OR($P48=#REF!,#REF!=#REF!,#REF!=#REF!)</formula>
    </cfRule>
  </conditionalFormatting>
  <conditionalFormatting sqref="B50:B1000">
    <cfRule type="expression" dxfId="2" priority="84">
      <formula>OR($R48=#REF!,#REF!=#REF!,#REF!=#REF!)</formula>
    </cfRule>
  </conditionalFormatting>
  <conditionalFormatting sqref="B50:B1000">
    <cfRule type="expression" dxfId="1" priority="88">
      <formula>OR($P48=#REF!,#REF!=#REF!,#REF!=#REF!)</formula>
    </cfRule>
  </conditionalFormatting>
  <conditionalFormatting sqref="B50:B1000">
    <cfRule type="expression" dxfId="0" priority="98">
      <formula>OR($P48=#REF!,#REF!=#REF!,#REF!=#REF!)</formula>
    </cfRule>
  </conditionalFormatting>
  <dataValidations count="2">
    <dataValidation type="list" allowBlank="1" showErrorMessage="1" sqref="C43:C44" xr:uid="{00000000-0002-0000-0100-000002000000}">
      <formula1>"TI,CC,PEP,PPT"</formula1>
    </dataValidation>
    <dataValidation type="list" allowBlank="1" showErrorMessage="1" sqref="C10:C42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FC939DAF-D9CC-418F-A6EB-4D974B1E4C65}"/>
    <hyperlink ref="K10" r:id="rId3" xr:uid="{A2344CBE-50ED-4A0D-BBD0-147E40D6F26A}"/>
    <hyperlink ref="K11" r:id="rId4" xr:uid="{01629C3B-E05E-4B5A-9CF9-C863C3118C0D}"/>
    <hyperlink ref="K12" r:id="rId5" xr:uid="{4521595D-8A61-4152-9F49-C2576D3BFC2F}"/>
    <hyperlink ref="K13" r:id="rId6" xr:uid="{1846EA63-B7B8-4350-950A-F350167275E0}"/>
    <hyperlink ref="K14" r:id="rId7" xr:uid="{C330DE25-6CD5-4072-909A-D5B87BA2692D}"/>
    <hyperlink ref="K16" r:id="rId8" xr:uid="{05247DEE-3867-45ED-AA40-717C43C78983}"/>
    <hyperlink ref="K17" r:id="rId9" xr:uid="{BA7FA1FA-E6B9-4E25-828B-525D25AC0D81}"/>
    <hyperlink ref="K18" r:id="rId10" xr:uid="{1958DC9F-7EFC-4095-93F0-2B01AE4DEC8A}"/>
    <hyperlink ref="K19" r:id="rId11" xr:uid="{AFCAA12B-8D23-4577-94A2-32B975D4FDE5}"/>
    <hyperlink ref="K20" r:id="rId12" xr:uid="{635AD56A-C0C6-4DB3-9F00-963ECC479403}"/>
    <hyperlink ref="K21" r:id="rId13" xr:uid="{E98D0A3A-E545-4CDE-958E-0210280C1A0E}"/>
    <hyperlink ref="K22" r:id="rId14" xr:uid="{8B0174AC-80B6-4244-9E23-257711C2F919}"/>
    <hyperlink ref="K23" r:id="rId15" xr:uid="{04473CFE-DDBD-4C9C-A19B-4416E6721CD9}"/>
    <hyperlink ref="K24" r:id="rId16" xr:uid="{D3AA3F94-8E08-478C-B346-301F3549A213}"/>
    <hyperlink ref="K25" r:id="rId17" xr:uid="{6DEE15CC-1D20-492F-9687-B08842B55888}"/>
    <hyperlink ref="K26" r:id="rId18" xr:uid="{81680ABE-1FD9-4DA1-8E14-04DDEDE7FE9F}"/>
    <hyperlink ref="K27" r:id="rId19" xr:uid="{62B76B79-71E9-45EC-A3DE-1A51BB39AD7F}"/>
    <hyperlink ref="K28" r:id="rId20" xr:uid="{302E8AEF-3B9F-47EB-958B-E2D4E517B873}"/>
    <hyperlink ref="K29" r:id="rId21" xr:uid="{9403E9B5-C259-437D-BF76-B40210CA0D94}"/>
    <hyperlink ref="K30" r:id="rId22" xr:uid="{DA279869-CD26-4E01-9C1D-63A70582348C}"/>
    <hyperlink ref="K31" r:id="rId23" xr:uid="{8511B89D-CD00-458A-AF71-59E878A28844}"/>
    <hyperlink ref="K32" r:id="rId24" xr:uid="{8857B9AE-4D63-4892-8C8B-4FC011758930}"/>
    <hyperlink ref="K33" r:id="rId25" xr:uid="{3384BEAF-5703-4D67-A3BE-04A4EFD71313}"/>
    <hyperlink ref="K34" r:id="rId26" xr:uid="{B811FDCF-22F3-436F-AEB8-68F560AB080E}"/>
    <hyperlink ref="K35" r:id="rId27" xr:uid="{451854C1-0735-4B78-B444-99B5D0CE66B8}"/>
    <hyperlink ref="K36" r:id="rId28" xr:uid="{FDC9958E-9B3F-4F4A-91BC-DD4B088FADC9}"/>
    <hyperlink ref="K37" r:id="rId29" xr:uid="{74BEC8A9-DE68-4C8E-BDEC-3B8C095FCFE7}"/>
    <hyperlink ref="K38" r:id="rId30" xr:uid="{4D2A947E-1864-473B-87F8-A488159E1856}"/>
    <hyperlink ref="K39" r:id="rId31" xr:uid="{77550E94-911E-490F-81AE-500EC81FF21D}"/>
    <hyperlink ref="K40" r:id="rId32" xr:uid="{CD576044-6FD9-4CA3-A185-C9EACEA9C962}"/>
    <hyperlink ref="K41" r:id="rId33" xr:uid="{B7A756F9-7AD4-40C0-9AF4-A701B9B34874}"/>
    <hyperlink ref="K42" r:id="rId34" xr:uid="{95C6B152-1D3D-4C9B-9D6E-4DB025ED044C}"/>
    <hyperlink ref="K43" r:id="rId35" xr:uid="{372FC313-6EC1-4AEA-853E-95AA96DE26A0}"/>
    <hyperlink ref="K44" r:id="rId36" xr:uid="{BDB22B6C-D091-4D7C-84A3-AC9011C33311}"/>
    <hyperlink ref="F15" r:id="rId37" xr:uid="{D47D31AF-62E9-4969-9909-341F5A4F40D9}"/>
    <hyperlink ref="I15" r:id="rId38" xr:uid="{9DB92F3D-00C5-43AD-ACBE-A9F3FEBA1734}"/>
    <hyperlink ref="K15" r:id="rId39" xr:uid="{D1B64EDB-559B-4F61-A486-6013B821155C}"/>
    <hyperlink ref="F10" r:id="rId40" xr:uid="{9F7DE892-F749-4621-85C3-2133BC806C03}"/>
    <hyperlink ref="F21" r:id="rId41" xr:uid="{54D99519-3574-4A3C-995C-A1DDC4695067}"/>
    <hyperlink ref="F23" r:id="rId42" xr:uid="{BB81F729-97A9-4836-9AA5-281997C8EA99}"/>
    <hyperlink ref="F33" r:id="rId43" xr:uid="{984505A3-3FF1-4CBE-9F97-FD4E46B66F8F}"/>
    <hyperlink ref="F11" r:id="rId44" xr:uid="{234C772C-D34F-4B05-88A8-2637BFAFDE61}"/>
    <hyperlink ref="F35" r:id="rId45" xr:uid="{95E3EDDB-8C99-402F-B384-C60C2F5F8DD5}"/>
    <hyperlink ref="F38" r:id="rId46" xr:uid="{79D531A6-33C3-44B2-8437-CF19A7FD9364}"/>
    <hyperlink ref="F42" r:id="rId47" xr:uid="{9D05C7DD-0EE7-48DC-8FE7-A3CE6D3620ED}"/>
    <hyperlink ref="F12" r:id="rId48" xr:uid="{3D760B91-7293-4BBD-A876-13DEBACD516B}"/>
    <hyperlink ref="F29" r:id="rId49" xr:uid="{1FBFBC11-9924-4FCF-9057-06DBB0047D53}"/>
    <hyperlink ref="F37" r:id="rId50" xr:uid="{43317DB7-A9AD-4E26-AF8D-30A3DAEF7470}"/>
    <hyperlink ref="F44" r:id="rId51" xr:uid="{2735E284-E43B-4C21-8BC2-2216E8851410}"/>
    <hyperlink ref="F13" r:id="rId52" xr:uid="{4A4CE0B8-B435-4D11-A5F1-963019FF8F32}"/>
    <hyperlink ref="F26" r:id="rId53" xr:uid="{04642A62-4E0D-43AB-AB22-9D9843844815}"/>
    <hyperlink ref="F14" r:id="rId54" xr:uid="{87490EC8-E72E-4D58-AB7A-BFAA8F3F7CE0}"/>
    <hyperlink ref="F41" r:id="rId55" xr:uid="{719CC598-80F7-4779-AA5B-F461B63D4230}"/>
    <hyperlink ref="F43" r:id="rId56" xr:uid="{38731257-D65C-4FD8-8758-925BC07595E4}"/>
    <hyperlink ref="F31" r:id="rId57" xr:uid="{2DAE0F4E-58E9-4A8D-B463-9967B4691519}"/>
    <hyperlink ref="F18" r:id="rId58" xr:uid="{4B0F1522-B927-43BF-A420-DC02F6F35C53}"/>
    <hyperlink ref="F16" r:id="rId59" xr:uid="{7A87DD09-AF9B-4D37-8A0A-6015CAA05187}"/>
    <hyperlink ref="F27" r:id="rId60" xr:uid="{CFB08303-2CAA-4418-B8EA-CFCCD6075E6E}"/>
    <hyperlink ref="F36" r:id="rId61" xr:uid="{4321F54C-35FD-4981-BB5A-1A017748EB9A}"/>
    <hyperlink ref="F25" r:id="rId62" xr:uid="{CE9BEB19-E4F5-429C-AEB6-87C0CC2484C1}"/>
    <hyperlink ref="F17" r:id="rId63" xr:uid="{E0502E51-1C39-40EA-9881-275176DB055E}"/>
    <hyperlink ref="F30" r:id="rId64" xr:uid="{132B97BD-A043-4887-B450-ABB9773E4393}"/>
    <hyperlink ref="F24" r:id="rId65" xr:uid="{77B45E4C-2FD6-4BAF-A629-40EB93E6D633}"/>
    <hyperlink ref="F19" r:id="rId66" xr:uid="{7D40CE97-A32E-4C00-AF49-E1823735193A}"/>
    <hyperlink ref="F20" r:id="rId67" xr:uid="{6EB39772-6EF1-4DE6-97EB-2DA3D98E6965}"/>
    <hyperlink ref="F34" r:id="rId68" xr:uid="{57494DF5-AE80-4C16-BC96-5399C702C17D}"/>
    <hyperlink ref="F32" r:id="rId69" xr:uid="{9ECC3208-E6ED-4D88-900D-6BEBEFEE735D}"/>
    <hyperlink ref="F28" r:id="rId70" xr:uid="{0B1B9811-8660-496E-86B6-2390065076C0}"/>
    <hyperlink ref="F39" r:id="rId71" xr:uid="{47CB2AD8-9FEB-42DA-94CA-F35FFA40E3FF}"/>
    <hyperlink ref="F22" r:id="rId72" xr:uid="{21AC6427-A11A-4A46-ACA5-32AE00815FCB}"/>
    <hyperlink ref="F40" r:id="rId73" xr:uid="{4F07F6D4-EEEA-444E-9ABD-73F7C92C1243}"/>
    <hyperlink ref="I25" r:id="rId74" xr:uid="{FC0A317B-27AA-4EC1-8D42-4C7FE00C723E}"/>
  </hyperlinks>
  <pageMargins left="0.7" right="0.7" top="0.75" bottom="0.75" header="0" footer="0"/>
  <pageSetup orientation="landscape" r:id="rId75"/>
  <tableParts count="1">
    <tablePart r:id="rId76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topLeftCell="A49" workbookViewId="0">
      <selection activeCell="B60" sqref="B60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8" t="s">
        <v>78</v>
      </c>
      <c r="B1" s="137"/>
      <c r="C1" s="137"/>
      <c r="D1" s="137"/>
      <c r="E1" s="62"/>
      <c r="F1" s="62"/>
    </row>
    <row r="2" spans="1:6" ht="15.75">
      <c r="A2" s="63" t="s">
        <v>79</v>
      </c>
      <c r="B2" s="64" t="s">
        <v>80</v>
      </c>
      <c r="C2" s="64" t="s">
        <v>81</v>
      </c>
      <c r="D2" s="65" t="s">
        <v>82</v>
      </c>
    </row>
    <row r="3" spans="1:6" ht="15.75">
      <c r="A3" s="215" t="s">
        <v>356</v>
      </c>
      <c r="B3" s="66" t="s">
        <v>275</v>
      </c>
      <c r="C3" s="66" t="s">
        <v>276</v>
      </c>
      <c r="D3" s="113" t="s">
        <v>127</v>
      </c>
    </row>
    <row r="4" spans="1:6" ht="15.75">
      <c r="A4" s="216"/>
      <c r="B4" s="66" t="s">
        <v>278</v>
      </c>
      <c r="C4" s="66" t="s">
        <v>279</v>
      </c>
      <c r="D4" s="113" t="s">
        <v>137</v>
      </c>
    </row>
    <row r="5" spans="1:6" ht="15.75">
      <c r="A5" s="216"/>
      <c r="B5" s="66" t="s">
        <v>280</v>
      </c>
      <c r="C5" s="66" t="s">
        <v>281</v>
      </c>
      <c r="D5" s="113" t="s">
        <v>139</v>
      </c>
    </row>
    <row r="6" spans="1:6" ht="15.75">
      <c r="A6" s="216"/>
      <c r="B6" s="66" t="s">
        <v>282</v>
      </c>
      <c r="C6" s="66" t="s">
        <v>283</v>
      </c>
      <c r="D6" s="113" t="s">
        <v>149</v>
      </c>
    </row>
    <row r="7" spans="1:6" ht="15.75">
      <c r="A7" s="217"/>
      <c r="B7" s="68"/>
      <c r="C7" s="68"/>
      <c r="D7" s="69"/>
    </row>
    <row r="8" spans="1:6" ht="15.75">
      <c r="B8" s="70"/>
    </row>
    <row r="9" spans="1:6" ht="15.75">
      <c r="A9" s="63" t="s">
        <v>83</v>
      </c>
      <c r="B9" s="64" t="s">
        <v>80</v>
      </c>
      <c r="C9" s="64" t="s">
        <v>81</v>
      </c>
      <c r="D9" s="65" t="s">
        <v>82</v>
      </c>
    </row>
    <row r="10" spans="1:6" ht="15.75">
      <c r="A10" s="215" t="s">
        <v>357</v>
      </c>
      <c r="B10" s="66" t="s">
        <v>284</v>
      </c>
      <c r="C10" s="66" t="s">
        <v>285</v>
      </c>
      <c r="D10" s="113" t="s">
        <v>128</v>
      </c>
    </row>
    <row r="11" spans="1:6" ht="15.75">
      <c r="A11" s="216"/>
      <c r="B11" s="66" t="s">
        <v>286</v>
      </c>
      <c r="C11" s="66" t="s">
        <v>287</v>
      </c>
      <c r="D11" s="113" t="s">
        <v>151</v>
      </c>
    </row>
    <row r="12" spans="1:6" ht="15.75">
      <c r="A12" s="216"/>
      <c r="B12" s="66" t="s">
        <v>291</v>
      </c>
      <c r="C12" s="66" t="s">
        <v>292</v>
      </c>
      <c r="D12" s="113" t="s">
        <v>158</v>
      </c>
    </row>
    <row r="13" spans="1:6" ht="15.75">
      <c r="A13" s="216"/>
      <c r="B13" s="66"/>
      <c r="C13" s="66"/>
      <c r="D13" s="113"/>
    </row>
    <row r="14" spans="1:6" ht="15.75">
      <c r="A14" s="217"/>
      <c r="B14" s="68"/>
      <c r="C14" s="68"/>
      <c r="D14" s="69"/>
    </row>
    <row r="16" spans="1:6" ht="15.75">
      <c r="A16" s="63" t="s">
        <v>84</v>
      </c>
      <c r="B16" s="64" t="s">
        <v>80</v>
      </c>
      <c r="C16" s="64" t="s">
        <v>81</v>
      </c>
      <c r="D16" s="65" t="s">
        <v>82</v>
      </c>
    </row>
    <row r="17" spans="1:4" ht="15.75">
      <c r="A17" s="215" t="s">
        <v>358</v>
      </c>
      <c r="B17" s="66" t="s">
        <v>293</v>
      </c>
      <c r="C17" s="66" t="s">
        <v>294</v>
      </c>
      <c r="D17" s="113" t="s">
        <v>129</v>
      </c>
    </row>
    <row r="18" spans="1:4" ht="15.75">
      <c r="A18" s="216"/>
      <c r="B18" s="66" t="s">
        <v>295</v>
      </c>
      <c r="C18" s="66" t="s">
        <v>296</v>
      </c>
      <c r="D18" s="113" t="s">
        <v>145</v>
      </c>
    </row>
    <row r="19" spans="1:4" ht="15.75">
      <c r="A19" s="216"/>
      <c r="B19" s="66" t="s">
        <v>297</v>
      </c>
      <c r="C19" s="66" t="s">
        <v>298</v>
      </c>
      <c r="D19" s="113" t="s">
        <v>153</v>
      </c>
    </row>
    <row r="20" spans="1:4" ht="15.75">
      <c r="A20" s="216"/>
      <c r="B20" s="66" t="s">
        <v>299</v>
      </c>
      <c r="C20" s="66" t="s">
        <v>300</v>
      </c>
      <c r="D20" s="113" t="s">
        <v>301</v>
      </c>
    </row>
    <row r="21" spans="1:4" ht="15.75">
      <c r="A21" s="217"/>
      <c r="B21" s="68"/>
      <c r="C21" s="68"/>
      <c r="D21" s="69"/>
    </row>
    <row r="23" spans="1:4" ht="15.75">
      <c r="A23" s="63" t="s">
        <v>85</v>
      </c>
      <c r="B23" s="64" t="s">
        <v>80</v>
      </c>
      <c r="C23" s="64" t="s">
        <v>81</v>
      </c>
      <c r="D23" s="65" t="s">
        <v>82</v>
      </c>
    </row>
    <row r="24" spans="1:4" ht="15.75">
      <c r="A24" s="215" t="s">
        <v>359</v>
      </c>
      <c r="B24" s="66" t="s">
        <v>302</v>
      </c>
      <c r="C24" s="66" t="s">
        <v>303</v>
      </c>
      <c r="D24" s="113" t="s">
        <v>130</v>
      </c>
    </row>
    <row r="25" spans="1:4" ht="15.75">
      <c r="A25" s="216"/>
      <c r="B25" s="66" t="s">
        <v>304</v>
      </c>
      <c r="C25" s="66" t="s">
        <v>305</v>
      </c>
      <c r="D25" s="113" t="s">
        <v>142</v>
      </c>
    </row>
    <row r="26" spans="1:4" ht="15.75">
      <c r="A26" s="216"/>
      <c r="B26" s="66" t="s">
        <v>306</v>
      </c>
      <c r="C26" s="66" t="s">
        <v>341</v>
      </c>
      <c r="D26" s="113" t="s">
        <v>131</v>
      </c>
    </row>
    <row r="27" spans="1:4" ht="15.75">
      <c r="A27" s="216"/>
      <c r="B27" s="66" t="s">
        <v>307</v>
      </c>
      <c r="C27" s="66" t="s">
        <v>308</v>
      </c>
      <c r="D27" s="113" t="s">
        <v>157</v>
      </c>
    </row>
    <row r="28" spans="1:4" ht="15.75">
      <c r="A28" s="217"/>
      <c r="B28" s="68"/>
      <c r="C28" s="68"/>
      <c r="D28" s="69"/>
    </row>
    <row r="30" spans="1:4" ht="15.75">
      <c r="A30" s="63" t="s">
        <v>86</v>
      </c>
      <c r="B30" s="64" t="s">
        <v>80</v>
      </c>
      <c r="C30" s="64" t="s">
        <v>81</v>
      </c>
      <c r="D30" s="65" t="s">
        <v>82</v>
      </c>
    </row>
    <row r="31" spans="1:4" ht="15.75">
      <c r="A31" s="215" t="s">
        <v>360</v>
      </c>
      <c r="B31" s="66" t="s">
        <v>309</v>
      </c>
      <c r="C31" s="66" t="s">
        <v>310</v>
      </c>
      <c r="D31" s="113" t="s">
        <v>269</v>
      </c>
    </row>
    <row r="32" spans="1:4" ht="15.75">
      <c r="A32" s="216"/>
      <c r="B32" s="66" t="s">
        <v>311</v>
      </c>
      <c r="C32" s="66" t="s">
        <v>312</v>
      </c>
      <c r="D32" s="113" t="s">
        <v>159</v>
      </c>
    </row>
    <row r="33" spans="1:4" ht="15.75">
      <c r="A33" s="216"/>
      <c r="B33" s="66" t="s">
        <v>313</v>
      </c>
      <c r="C33" s="66" t="s">
        <v>314</v>
      </c>
      <c r="D33" s="113" t="s">
        <v>147</v>
      </c>
    </row>
    <row r="34" spans="1:4" ht="15.75">
      <c r="A34" s="216"/>
      <c r="B34" s="66" t="s">
        <v>315</v>
      </c>
      <c r="C34" s="66" t="s">
        <v>316</v>
      </c>
      <c r="D34" s="113" t="s">
        <v>134</v>
      </c>
    </row>
    <row r="35" spans="1:4" ht="15.75">
      <c r="A35" s="217"/>
      <c r="B35" s="68"/>
      <c r="C35" s="68"/>
      <c r="D35" s="69"/>
    </row>
    <row r="37" spans="1:4" ht="15.75">
      <c r="A37" s="63" t="s">
        <v>87</v>
      </c>
      <c r="B37" s="64" t="s">
        <v>80</v>
      </c>
      <c r="C37" s="64" t="s">
        <v>81</v>
      </c>
      <c r="D37" s="65" t="s">
        <v>82</v>
      </c>
    </row>
    <row r="38" spans="1:4" ht="15.75">
      <c r="A38" s="215" t="s">
        <v>361</v>
      </c>
      <c r="B38" s="66" t="s">
        <v>317</v>
      </c>
      <c r="C38" s="66" t="s">
        <v>318</v>
      </c>
      <c r="D38" s="113" t="s">
        <v>132</v>
      </c>
    </row>
    <row r="39" spans="1:4" ht="15.75">
      <c r="A39" s="216"/>
      <c r="B39" s="66" t="s">
        <v>319</v>
      </c>
      <c r="C39" s="66" t="s">
        <v>342</v>
      </c>
      <c r="D39" s="113" t="s">
        <v>143</v>
      </c>
    </row>
    <row r="40" spans="1:4" ht="15.75">
      <c r="A40" s="216"/>
      <c r="B40" s="66" t="s">
        <v>320</v>
      </c>
      <c r="C40" s="66" t="s">
        <v>321</v>
      </c>
      <c r="D40" s="113" t="s">
        <v>152</v>
      </c>
    </row>
    <row r="41" spans="1:4" ht="15.75">
      <c r="A41" s="216"/>
      <c r="B41" s="66" t="s">
        <v>288</v>
      </c>
      <c r="C41" s="66" t="s">
        <v>289</v>
      </c>
      <c r="D41" s="113" t="s">
        <v>154</v>
      </c>
    </row>
    <row r="42" spans="1:4" ht="15.75">
      <c r="A42" s="217"/>
      <c r="B42" s="68"/>
      <c r="C42" s="68"/>
      <c r="D42" s="69"/>
    </row>
    <row r="43" spans="1:4" ht="15" customHeight="1" thickBot="1"/>
    <row r="44" spans="1:4" ht="15" customHeight="1">
      <c r="A44" s="63" t="s">
        <v>273</v>
      </c>
      <c r="B44" s="64" t="s">
        <v>80</v>
      </c>
      <c r="C44" s="64" t="s">
        <v>81</v>
      </c>
      <c r="D44" s="65" t="s">
        <v>82</v>
      </c>
    </row>
    <row r="45" spans="1:4" ht="15" customHeight="1">
      <c r="A45" s="215" t="s">
        <v>362</v>
      </c>
      <c r="B45" s="66" t="s">
        <v>322</v>
      </c>
      <c r="C45" s="66" t="s">
        <v>323</v>
      </c>
      <c r="D45" s="113" t="s">
        <v>133</v>
      </c>
    </row>
    <row r="46" spans="1:4" ht="15" customHeight="1">
      <c r="A46" s="216"/>
      <c r="B46" s="66" t="s">
        <v>324</v>
      </c>
      <c r="C46" s="66" t="s">
        <v>325</v>
      </c>
      <c r="D46" s="113" t="s">
        <v>146</v>
      </c>
    </row>
    <row r="47" spans="1:4" ht="15" customHeight="1">
      <c r="A47" s="216"/>
      <c r="B47" s="66" t="s">
        <v>326</v>
      </c>
      <c r="C47" s="66" t="s">
        <v>327</v>
      </c>
      <c r="D47" s="113" t="s">
        <v>140</v>
      </c>
    </row>
    <row r="48" spans="1:4" ht="15" customHeight="1">
      <c r="A48" s="216"/>
      <c r="B48" s="66" t="s">
        <v>328</v>
      </c>
      <c r="C48" s="66" t="s">
        <v>329</v>
      </c>
      <c r="D48" s="113" t="s">
        <v>135</v>
      </c>
    </row>
    <row r="49" spans="1:4" ht="15" customHeight="1" thickBot="1">
      <c r="A49" s="217"/>
      <c r="B49" s="68"/>
      <c r="C49" s="68"/>
      <c r="D49" s="69"/>
    </row>
    <row r="50" spans="1:4" ht="15" customHeight="1" thickBot="1"/>
    <row r="51" spans="1:4" ht="15" customHeight="1">
      <c r="A51" s="63" t="s">
        <v>274</v>
      </c>
      <c r="B51" s="64" t="s">
        <v>80</v>
      </c>
      <c r="C51" s="64" t="s">
        <v>81</v>
      </c>
      <c r="D51" s="65" t="s">
        <v>82</v>
      </c>
    </row>
    <row r="52" spans="1:4" ht="15" customHeight="1">
      <c r="A52" s="215" t="s">
        <v>363</v>
      </c>
      <c r="B52" s="66" t="s">
        <v>330</v>
      </c>
      <c r="C52" s="66" t="s">
        <v>331</v>
      </c>
      <c r="D52" s="113" t="s">
        <v>136</v>
      </c>
    </row>
    <row r="53" spans="1:4" ht="15" customHeight="1">
      <c r="A53" s="216"/>
      <c r="B53" s="66" t="s">
        <v>332</v>
      </c>
      <c r="C53" s="66" t="s">
        <v>333</v>
      </c>
      <c r="D53" s="113" t="s">
        <v>150</v>
      </c>
    </row>
    <row r="54" spans="1:4" ht="15" customHeight="1">
      <c r="A54" s="216"/>
      <c r="B54" s="66" t="s">
        <v>334</v>
      </c>
      <c r="C54" s="66" t="s">
        <v>335</v>
      </c>
      <c r="D54" s="113" t="s">
        <v>148</v>
      </c>
    </row>
    <row r="55" spans="1:4" ht="15" customHeight="1">
      <c r="A55" s="216"/>
      <c r="B55" s="66" t="s">
        <v>336</v>
      </c>
      <c r="C55" s="66" t="s">
        <v>338</v>
      </c>
      <c r="D55" s="113" t="s">
        <v>144</v>
      </c>
    </row>
    <row r="56" spans="1:4" ht="15" customHeight="1" thickBot="1">
      <c r="A56" s="217"/>
      <c r="B56" s="68" t="s">
        <v>339</v>
      </c>
      <c r="C56" s="68" t="s">
        <v>340</v>
      </c>
      <c r="D56" s="118" t="s">
        <v>155</v>
      </c>
    </row>
    <row r="57" spans="1:4" ht="15" customHeight="1" thickBot="1"/>
    <row r="58" spans="1:4" ht="15" customHeight="1">
      <c r="A58" s="63" t="s">
        <v>277</v>
      </c>
      <c r="B58" s="64" t="s">
        <v>80</v>
      </c>
      <c r="C58" s="64" t="s">
        <v>81</v>
      </c>
      <c r="D58" s="65" t="s">
        <v>82</v>
      </c>
    </row>
    <row r="59" spans="1:4" ht="15" customHeight="1">
      <c r="A59" s="215" t="s">
        <v>364</v>
      </c>
      <c r="B59" s="66" t="s">
        <v>343</v>
      </c>
      <c r="C59" s="66" t="s">
        <v>344</v>
      </c>
      <c r="D59" s="113" t="s">
        <v>138</v>
      </c>
    </row>
    <row r="60" spans="1:4" ht="15" customHeight="1">
      <c r="A60" s="216"/>
      <c r="B60" s="66" t="s">
        <v>345</v>
      </c>
      <c r="C60" s="66" t="s">
        <v>346</v>
      </c>
      <c r="D60" s="113" t="s">
        <v>156</v>
      </c>
    </row>
    <row r="61" spans="1:4" ht="15" customHeight="1">
      <c r="A61" s="216"/>
      <c r="B61" s="66"/>
      <c r="C61" s="66"/>
      <c r="D61" s="113"/>
    </row>
    <row r="62" spans="1:4" ht="15" customHeight="1">
      <c r="A62" s="216"/>
      <c r="B62" s="66"/>
      <c r="C62" s="66"/>
      <c r="D62" s="67"/>
    </row>
    <row r="63" spans="1:4" ht="15" customHeight="1" thickBot="1">
      <c r="A63" s="217"/>
      <c r="B63" s="68"/>
      <c r="C63" s="68"/>
      <c r="D63" s="69"/>
    </row>
  </sheetData>
  <mergeCells count="10">
    <mergeCell ref="A1:D1"/>
    <mergeCell ref="A3:A7"/>
    <mergeCell ref="A10:A14"/>
    <mergeCell ref="A17:A21"/>
    <mergeCell ref="A24:A28"/>
    <mergeCell ref="A45:A49"/>
    <mergeCell ref="A52:A56"/>
    <mergeCell ref="A59:A63"/>
    <mergeCell ref="A31:A35"/>
    <mergeCell ref="A38:A42"/>
  </mergeCells>
  <hyperlinks>
    <hyperlink ref="D3" r:id="rId1" xr:uid="{BF44E5AF-C41E-4FE1-AB09-EC39BA924783}"/>
    <hyperlink ref="D4" r:id="rId2" xr:uid="{442D1768-2E4D-4F21-B617-A7840851CBB9}"/>
    <hyperlink ref="D5" r:id="rId3" xr:uid="{B1BD5A0F-24E9-49AA-8561-2963EA52B95F}"/>
    <hyperlink ref="D6" r:id="rId4" xr:uid="{D14A4E92-C0E2-4696-BF8F-D8F4C20394FC}"/>
    <hyperlink ref="D10" r:id="rId5" xr:uid="{7598D655-2180-461C-9928-8BE1BFC7DC83}"/>
    <hyperlink ref="D11" r:id="rId6" xr:uid="{D5C00FFE-C863-4926-9205-AF8F08BEC239}"/>
    <hyperlink ref="D17" r:id="rId7" xr:uid="{E29BFCDD-27C7-4BBA-82F1-8DA1BB4BF5E0}"/>
    <hyperlink ref="D18" r:id="rId8" xr:uid="{AF6534E7-3696-4873-84C8-6037A9BB6F8C}"/>
    <hyperlink ref="D19" r:id="rId9" xr:uid="{335FE742-65B9-4738-B90A-0917A8AE3738}"/>
    <hyperlink ref="D20" r:id="rId10" xr:uid="{D00ABF86-B5B6-4CF2-834B-208EB25AC884}"/>
    <hyperlink ref="D24" r:id="rId11" xr:uid="{7EAB6215-249B-444D-9E1E-C71E6A387E5B}"/>
    <hyperlink ref="D25" r:id="rId12" xr:uid="{1EEC0362-69F4-4457-9702-49517EF9B022}"/>
    <hyperlink ref="D26" r:id="rId13" xr:uid="{836C440A-F077-4AE0-A519-1A7D133A6DA5}"/>
    <hyperlink ref="D27" r:id="rId14" xr:uid="{62EB46EE-231C-4953-9AE3-D9DD2AD48658}"/>
    <hyperlink ref="D31" r:id="rId15" xr:uid="{840E8B01-D584-4103-BCDC-1087897CD79F}"/>
    <hyperlink ref="D32" r:id="rId16" xr:uid="{48F22200-13AE-4713-AE5B-423F84F70075}"/>
    <hyperlink ref="D33" r:id="rId17" xr:uid="{1AC3C72B-2911-40D8-9DF1-A116DF0A84BC}"/>
    <hyperlink ref="D34" r:id="rId18" xr:uid="{F0DAA9D4-4B78-4B96-A1F3-86171AEB6763}"/>
    <hyperlink ref="D38" r:id="rId19" xr:uid="{525CC6A7-E041-40D7-890B-B8625400678D}"/>
    <hyperlink ref="D39" r:id="rId20" xr:uid="{F2007303-9E1D-45D2-A959-97CE8081C45E}"/>
    <hyperlink ref="D40" r:id="rId21" xr:uid="{634ED716-CF7B-45CA-939A-B631D3D6C0C0}"/>
    <hyperlink ref="D45" r:id="rId22" xr:uid="{85A134AC-87E3-4A71-8F8B-2218D89B1CF7}"/>
    <hyperlink ref="D46" r:id="rId23" xr:uid="{55BD9931-A487-4129-B613-D052B9D2E43A}"/>
    <hyperlink ref="D47" r:id="rId24" xr:uid="{6E9F97FA-3140-4E41-A8BD-C7E8D3F86C7B}"/>
    <hyperlink ref="D48" r:id="rId25" xr:uid="{0472DDC2-CBD4-4B04-8528-EA9BBA75F391}"/>
    <hyperlink ref="D52" r:id="rId26" xr:uid="{10C1359B-FE2B-41CE-99BF-90A20059629F}"/>
    <hyperlink ref="D53" r:id="rId27" xr:uid="{8AE6A0A2-716A-46F8-8441-68E9607A39C7}"/>
    <hyperlink ref="D54" r:id="rId28" xr:uid="{D79013BE-C6A2-439D-9836-1E180BA23CBB}"/>
    <hyperlink ref="D55" r:id="rId29" xr:uid="{75D666DD-10EC-4262-B05C-5B12DCA9EAC5}"/>
    <hyperlink ref="D56" r:id="rId30" xr:uid="{EB07EF50-4E64-43BA-87CD-BB81127CCCB7}"/>
    <hyperlink ref="D59" r:id="rId31" xr:uid="{80B3C828-94C9-4BC4-BFDA-AFE5E3F5B574}"/>
    <hyperlink ref="D60" r:id="rId32" xr:uid="{BA2F860E-577E-42F3-A716-4F537F1889D0}"/>
    <hyperlink ref="D41" r:id="rId33" xr:uid="{2D726380-94CC-4CC1-AEB9-3D1F39E2F42D}"/>
    <hyperlink ref="D12" r:id="rId34" xr:uid="{48A14C87-A122-4450-B388-7FDC011AEB35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2026-04-08T15:11:17Z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