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342094AA-F4F1-484A-A2CB-5462309145D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'!$A$8:$DW$41</definedName>
    <definedName name="AñoCalendario">#REF!</definedName>
    <definedName name="asd">#REF!</definedName>
    <definedName name="DIAS">'ASISTENCIA '!$C$48:$D$53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G33" i="1" l="1"/>
  <c r="H33" i="1"/>
  <c r="I33" i="1"/>
  <c r="J33" i="1"/>
  <c r="K33" i="1"/>
  <c r="L33" i="1"/>
  <c r="N33" i="1"/>
  <c r="O33" i="1" l="1"/>
  <c r="B33" i="1"/>
  <c r="C33" i="1"/>
  <c r="D33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15" i="1"/>
  <c r="C15" i="1"/>
  <c r="D15" i="1"/>
  <c r="B16" i="1"/>
  <c r="C16" i="1"/>
  <c r="D16" i="1"/>
  <c r="C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41" i="1"/>
  <c r="DV41" i="1"/>
  <c r="CW41" i="1"/>
  <c r="CV41" i="1"/>
  <c r="CU41" i="1"/>
  <c r="CT41" i="1"/>
  <c r="CS41" i="1"/>
  <c r="CR41" i="1"/>
  <c r="CQ41" i="1"/>
  <c r="CP41" i="1"/>
  <c r="CO41" i="1"/>
  <c r="CN41" i="1"/>
  <c r="CM41" i="1"/>
  <c r="CL41" i="1"/>
  <c r="CK41" i="1"/>
  <c r="CJ41" i="1"/>
  <c r="CI41" i="1"/>
  <c r="CH41" i="1"/>
  <c r="CG41" i="1"/>
  <c r="CF41" i="1"/>
  <c r="CE41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N41" i="1"/>
  <c r="DW40" i="1"/>
  <c r="DV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N40" i="1"/>
  <c r="DW39" i="1"/>
  <c r="DV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N39" i="1"/>
  <c r="DW38" i="1"/>
  <c r="DV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N38" i="1"/>
  <c r="DW37" i="1"/>
  <c r="DV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N37" i="1"/>
  <c r="DW36" i="1"/>
  <c r="DV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N36" i="1"/>
  <c r="DW35" i="1"/>
  <c r="DV35" i="1"/>
  <c r="CW35" i="1"/>
  <c r="CV35" i="1"/>
  <c r="CU35" i="1"/>
  <c r="CT35" i="1"/>
  <c r="CS35" i="1"/>
  <c r="CR35" i="1"/>
  <c r="CQ35" i="1"/>
  <c r="CP35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N35" i="1"/>
  <c r="DW34" i="1"/>
  <c r="DV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N34" i="1"/>
  <c r="DW33" i="1"/>
  <c r="DV33" i="1"/>
  <c r="M33" i="1" s="1"/>
  <c r="DW32" i="1"/>
  <c r="DV32" i="1"/>
  <c r="M32" i="1" s="1"/>
  <c r="N32" i="1"/>
  <c r="L32" i="1"/>
  <c r="K32" i="1"/>
  <c r="J32" i="1"/>
  <c r="I32" i="1"/>
  <c r="F32" i="1" s="1"/>
  <c r="H32" i="1"/>
  <c r="G32" i="1"/>
  <c r="DW31" i="1"/>
  <c r="M31" i="1" s="1"/>
  <c r="DV31" i="1"/>
  <c r="N31" i="1"/>
  <c r="L31" i="1"/>
  <c r="K31" i="1"/>
  <c r="J31" i="1"/>
  <c r="I31" i="1"/>
  <c r="F31" i="1" s="1"/>
  <c r="H31" i="1"/>
  <c r="G31" i="1"/>
  <c r="DW30" i="1"/>
  <c r="DV30" i="1"/>
  <c r="M30" i="1" s="1"/>
  <c r="N30" i="1"/>
  <c r="L30" i="1"/>
  <c r="K30" i="1"/>
  <c r="J30" i="1"/>
  <c r="I30" i="1"/>
  <c r="F30" i="1" s="1"/>
  <c r="H30" i="1"/>
  <c r="G30" i="1"/>
  <c r="DW29" i="1"/>
  <c r="M29" i="1" s="1"/>
  <c r="DV29" i="1"/>
  <c r="N29" i="1"/>
  <c r="L29" i="1"/>
  <c r="K29" i="1"/>
  <c r="J29" i="1"/>
  <c r="I29" i="1"/>
  <c r="F29" i="1" s="1"/>
  <c r="H29" i="1"/>
  <c r="G29" i="1"/>
  <c r="DW28" i="1"/>
  <c r="DV28" i="1"/>
  <c r="M28" i="1" s="1"/>
  <c r="N28" i="1"/>
  <c r="L28" i="1"/>
  <c r="K28" i="1"/>
  <c r="J28" i="1"/>
  <c r="I28" i="1"/>
  <c r="F28" i="1" s="1"/>
  <c r="H28" i="1"/>
  <c r="G28" i="1"/>
  <c r="DW27" i="1"/>
  <c r="M27" i="1" s="1"/>
  <c r="DV27" i="1"/>
  <c r="N27" i="1"/>
  <c r="L27" i="1"/>
  <c r="K27" i="1"/>
  <c r="J27" i="1"/>
  <c r="I27" i="1"/>
  <c r="F27" i="1" s="1"/>
  <c r="H27" i="1"/>
  <c r="G27" i="1"/>
  <c r="DW26" i="1"/>
  <c r="DV26" i="1"/>
  <c r="M26" i="1" s="1"/>
  <c r="N26" i="1"/>
  <c r="L26" i="1"/>
  <c r="K26" i="1"/>
  <c r="J26" i="1"/>
  <c r="I26" i="1"/>
  <c r="F26" i="1" s="1"/>
  <c r="H26" i="1"/>
  <c r="G26" i="1"/>
  <c r="DW25" i="1"/>
  <c r="M25" i="1" s="1"/>
  <c r="DV25" i="1"/>
  <c r="N25" i="1"/>
  <c r="L25" i="1"/>
  <c r="K25" i="1"/>
  <c r="J25" i="1"/>
  <c r="I25" i="1"/>
  <c r="F25" i="1" s="1"/>
  <c r="H25" i="1"/>
  <c r="G25" i="1"/>
  <c r="DW24" i="1"/>
  <c r="DV24" i="1"/>
  <c r="M24" i="1" s="1"/>
  <c r="N24" i="1"/>
  <c r="L24" i="1"/>
  <c r="K24" i="1"/>
  <c r="J24" i="1"/>
  <c r="I24" i="1"/>
  <c r="F24" i="1" s="1"/>
  <c r="H24" i="1"/>
  <c r="G24" i="1"/>
  <c r="DW23" i="1"/>
  <c r="M23" i="1" s="1"/>
  <c r="DV23" i="1"/>
  <c r="N23" i="1"/>
  <c r="L23" i="1"/>
  <c r="K23" i="1"/>
  <c r="J23" i="1"/>
  <c r="I23" i="1"/>
  <c r="F23" i="1" s="1"/>
  <c r="H23" i="1"/>
  <c r="G23" i="1"/>
  <c r="DW22" i="1"/>
  <c r="DV22" i="1"/>
  <c r="M22" i="1" s="1"/>
  <c r="N22" i="1"/>
  <c r="L22" i="1"/>
  <c r="K22" i="1"/>
  <c r="J22" i="1"/>
  <c r="I22" i="1"/>
  <c r="F22" i="1" s="1"/>
  <c r="H22" i="1"/>
  <c r="G22" i="1"/>
  <c r="DW21" i="1"/>
  <c r="M21" i="1" s="1"/>
  <c r="DV21" i="1"/>
  <c r="N21" i="1"/>
  <c r="L21" i="1"/>
  <c r="K21" i="1"/>
  <c r="J21" i="1"/>
  <c r="I21" i="1"/>
  <c r="F21" i="1" s="1"/>
  <c r="H21" i="1"/>
  <c r="G21" i="1"/>
  <c r="DW20" i="1"/>
  <c r="DV20" i="1"/>
  <c r="M20" i="1" s="1"/>
  <c r="N20" i="1"/>
  <c r="L20" i="1"/>
  <c r="K20" i="1"/>
  <c r="J20" i="1"/>
  <c r="I20" i="1"/>
  <c r="F20" i="1" s="1"/>
  <c r="H20" i="1"/>
  <c r="G20" i="1"/>
  <c r="DW19" i="1"/>
  <c r="M19" i="1" s="1"/>
  <c r="DV19" i="1"/>
  <c r="N19" i="1"/>
  <c r="L19" i="1"/>
  <c r="K19" i="1"/>
  <c r="J19" i="1"/>
  <c r="I19" i="1"/>
  <c r="F19" i="1" s="1"/>
  <c r="H19" i="1"/>
  <c r="G19" i="1"/>
  <c r="DW18" i="1"/>
  <c r="DV18" i="1"/>
  <c r="M18" i="1" s="1"/>
  <c r="N18" i="1"/>
  <c r="L18" i="1"/>
  <c r="K18" i="1"/>
  <c r="J18" i="1"/>
  <c r="I18" i="1"/>
  <c r="F18" i="1" s="1"/>
  <c r="H18" i="1"/>
  <c r="G18" i="1"/>
  <c r="DW17" i="1"/>
  <c r="M17" i="1" s="1"/>
  <c r="DV17" i="1"/>
  <c r="N17" i="1"/>
  <c r="L17" i="1"/>
  <c r="K17" i="1"/>
  <c r="J17" i="1"/>
  <c r="I17" i="1"/>
  <c r="F17" i="1" s="1"/>
  <c r="H17" i="1"/>
  <c r="G17" i="1"/>
  <c r="DW16" i="1"/>
  <c r="DV16" i="1"/>
  <c r="M16" i="1" s="1"/>
  <c r="N16" i="1"/>
  <c r="L16" i="1"/>
  <c r="K16" i="1"/>
  <c r="J16" i="1"/>
  <c r="I16" i="1"/>
  <c r="F16" i="1" s="1"/>
  <c r="H16" i="1"/>
  <c r="G16" i="1"/>
  <c r="DW15" i="1"/>
  <c r="M15" i="1" s="1"/>
  <c r="DV15" i="1"/>
  <c r="N15" i="1"/>
  <c r="L15" i="1"/>
  <c r="K15" i="1"/>
  <c r="J15" i="1"/>
  <c r="I15" i="1"/>
  <c r="F15" i="1" s="1"/>
  <c r="H15" i="1"/>
  <c r="G15" i="1"/>
  <c r="DW14" i="1"/>
  <c r="DV14" i="1"/>
  <c r="M14" i="1" s="1"/>
  <c r="N14" i="1"/>
  <c r="L14" i="1"/>
  <c r="K14" i="1"/>
  <c r="J14" i="1"/>
  <c r="I14" i="1"/>
  <c r="F14" i="1" s="1"/>
  <c r="H14" i="1"/>
  <c r="G14" i="1"/>
  <c r="D14" i="1"/>
  <c r="C14" i="1"/>
  <c r="B14" i="1"/>
  <c r="DW13" i="1"/>
  <c r="DV13" i="1"/>
  <c r="M13" i="1" s="1"/>
  <c r="N13" i="1"/>
  <c r="L13" i="1"/>
  <c r="K13" i="1"/>
  <c r="J13" i="1"/>
  <c r="I13" i="1"/>
  <c r="F13" i="1" s="1"/>
  <c r="H13" i="1"/>
  <c r="G13" i="1"/>
  <c r="D13" i="1"/>
  <c r="C13" i="1"/>
  <c r="B13" i="1"/>
  <c r="DW12" i="1"/>
  <c r="DV12" i="1"/>
  <c r="N12" i="1"/>
  <c r="L12" i="1"/>
  <c r="K12" i="1"/>
  <c r="J12" i="1"/>
  <c r="I12" i="1"/>
  <c r="F12" i="1" s="1"/>
  <c r="H12" i="1"/>
  <c r="G12" i="1"/>
  <c r="D12" i="1"/>
  <c r="C12" i="1"/>
  <c r="B12" i="1"/>
  <c r="DW11" i="1"/>
  <c r="DV11" i="1"/>
  <c r="N11" i="1"/>
  <c r="M11" i="1"/>
  <c r="L11" i="1"/>
  <c r="K11" i="1"/>
  <c r="J11" i="1"/>
  <c r="I11" i="1"/>
  <c r="F11" i="1" s="1"/>
  <c r="H11" i="1"/>
  <c r="G11" i="1"/>
  <c r="D11" i="1"/>
  <c r="C11" i="1"/>
  <c r="B11" i="1"/>
  <c r="DW10" i="1"/>
  <c r="DV10" i="1"/>
  <c r="N10" i="1"/>
  <c r="L10" i="1"/>
  <c r="K10" i="1"/>
  <c r="J10" i="1"/>
  <c r="I10" i="1"/>
  <c r="F10" i="1" s="1"/>
  <c r="H10" i="1"/>
  <c r="G10" i="1"/>
  <c r="D10" i="1"/>
  <c r="C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DW9" i="1"/>
  <c r="DV9" i="1"/>
  <c r="N9" i="1"/>
  <c r="L9" i="1"/>
  <c r="K9" i="1"/>
  <c r="J9" i="1"/>
  <c r="I9" i="1"/>
  <c r="F9" i="1" s="1"/>
  <c r="H9" i="1"/>
  <c r="G9" i="1"/>
  <c r="D9" i="1"/>
  <c r="B9" i="1"/>
  <c r="F7" i="1"/>
  <c r="D7" i="1"/>
  <c r="F6" i="1"/>
  <c r="D6" i="1"/>
  <c r="D5" i="1"/>
  <c r="M9" i="1" l="1"/>
  <c r="M10" i="1"/>
  <c r="M12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<sst xmlns="http://schemas.openxmlformats.org/spreadsheetml/2006/main" count="638" uniqueCount="294">
  <si>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</si>
  <si>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</si>
  <si>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</si>
  <si>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</si>
  <si>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</si>
  <si>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</si>
  <si>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</si>
  <si>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</si>
  <si>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</si>
  <si>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</si>
  <si>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</si>
  <si>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</si>
  <si>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</si>
  <si>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</si>
  <si>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</si>
  <si>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</si>
  <si>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</si>
  <si>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</si>
  <si>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</si>
  <si>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</si>
  <si>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</si>
  <si>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</si>
  <si>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</si>
  <si>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</si>
  <si>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</si>
  <si>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</si>
  <si>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</si>
  <si>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</si>
  <si>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</si>
  <si>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</si>
  <si>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</si>
  <si>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</si>
  <si>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</si>
  <si>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</si>
  <si>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</si>
  <si>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</si>
  <si>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</si>
  <si>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</si>
  <si>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</si>
  <si>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</si>
  <si>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</si>
  <si>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</si>
  <si>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</si>
  <si>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</si>
  <si>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</si>
  <si>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</si>
  <si>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</si>
  <si>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</si>
  <si>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</si>
  <si>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</si>
  <si>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</si>
  <si>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</si>
  <si>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</si>
  <si>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</si>
  <si>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</si>
  <si>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</si>
  <si>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</si>
  <si>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</si>
  <si>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</si>
  <si>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</si>
  <si>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</si>
  <si>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</si>
  <si>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</si>
  <si>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</si>
  <si>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</si>
  <si>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</si>
  <si>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</si>
  <si>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</si>
  <si>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</si>
  <si>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</si>
  <si>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</si>
  <si>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</si>
  <si>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</si>
  <si>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</si>
  <si>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</si>
  <si>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</si>
  <si>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</si>
  <si>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</si>
  <si>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</si>
  <si>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</si>
  <si>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</si>
  <si>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</si>
  <si>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</si>
  <si>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</si>
  <si>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</si>
  <si>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</si>
  <si>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</si>
  <si>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</si>
  <si>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</si>
  <si>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CARLOS ALBERTO SALCEDO DURAN</t>
  </si>
  <si>
    <t>csalcedo@sena.edu.co</t>
  </si>
  <si>
    <t>COLEGIO GENERAL SANTANDER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</si>
  <si>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</si>
  <si>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TI</t>
  </si>
  <si>
    <t>mahitelisabelacostaargote@gmail.com</t>
  </si>
  <si>
    <t>argotemayra50@gmail.com</t>
  </si>
  <si>
    <t>https://drive.google.com/drive/folders/1BLFw-GQyP-eENIihSkCek39cNUilotzW</t>
  </si>
  <si>
    <t>PPT</t>
  </si>
  <si>
    <t>valentinamichelalvarez24@gmail.com</t>
  </si>
  <si>
    <t>Maickely Vargas</t>
  </si>
  <si>
    <t>jaimarvargas8@gmail.com</t>
  </si>
  <si>
    <t>https://drive.google.com/drive/folders/1NoWIJAN4eLsC1X2v7w0ofIP2Aw443K3A?usp=drive_link</t>
  </si>
  <si>
    <t xml:space="preserve">brigihtgeraldineavilezcurz@gmail.com </t>
  </si>
  <si>
    <t>astridloneracruzrogriguez@gmail.com</t>
  </si>
  <si>
    <t>https://drive.google.com/drive/folders/1GXJComDDNdrAuvREuBPgUk1_4nsOmj67?usp=drive_link</t>
  </si>
  <si>
    <t>sofiguette96@gmail.com</t>
  </si>
  <si>
    <t>dianaguette36@gmail.com</t>
  </si>
  <si>
    <t>https://drive.google.com/drive/folders/1C96PgXEmw3xHweFytEOUZxygMA-z6Z1y</t>
  </si>
  <si>
    <t>brayan.djfb@gmail.com</t>
  </si>
  <si>
    <t>312 4582160</t>
  </si>
  <si>
    <t>keniaburgos2525@gmail.com</t>
  </si>
  <si>
    <t>322 6056426</t>
  </si>
  <si>
    <t>https://drive.google.com/drive/folders/1YfMel2eCpjgOIiGZVJz-PMrFYmrTcJYX</t>
  </si>
  <si>
    <t>Julieth Andrea Martinez Aparicio</t>
  </si>
  <si>
    <t>martinezaparicioj09@gmail.com</t>
  </si>
  <si>
    <t>https://drive.google.com/drive/folders/1OAhjZoirB6WYi0jh9lnR0oYYqHiSm0ST</t>
  </si>
  <si>
    <t>gilmuchachob@gmail.com</t>
  </si>
  <si>
    <t>Laura Muchacho</t>
  </si>
  <si>
    <t>Avilez Cruz Brigiht Geraldine</t>
  </si>
  <si>
    <t>Fernández Guette Nathalia Sofia</t>
  </si>
  <si>
    <t>Gil Muchacho Brittany Angelina</t>
  </si>
  <si>
    <t>Isaza Reino Valeria Andrea</t>
  </si>
  <si>
    <t>Padrón Flores Dayrelis Alejandra</t>
  </si>
  <si>
    <t>Palomo Barreto Danna Valentina</t>
  </si>
  <si>
    <t>Toro Medina Dairy Nikoll</t>
  </si>
  <si>
    <t>Torres Álvarez Lynda Sofia</t>
  </si>
  <si>
    <t>Acosta Argote Mahitel Isabel</t>
  </si>
  <si>
    <t>Álvarez Vargas Michel Valentina</t>
  </si>
  <si>
    <t>Castillo Rodríguez Ramsés Alexandry</t>
  </si>
  <si>
    <t>Ferrer Burgos Brayan De Jesús</t>
  </si>
  <si>
    <t>Galeano López Erika Lindsay</t>
  </si>
  <si>
    <t>Giraldo Martínez Juan Felipe</t>
  </si>
  <si>
    <t>Gómez Córdoba Sharon Mariana</t>
  </si>
  <si>
    <t>Linero Valles María Del Carmen</t>
  </si>
  <si>
    <t>López Gutiérrez Melani Williani</t>
  </si>
  <si>
    <t>Pinzón Castillo Paula Alejandra</t>
  </si>
  <si>
    <t>Rivero Pabón Noryelis Dayana</t>
  </si>
  <si>
    <t>Rodríguez González Laura Valentina</t>
  </si>
  <si>
    <t>Rodríguez Sáenz Brayan Sebastián</t>
  </si>
  <si>
    <t>Zamudio Izquierdo María Isabel</t>
  </si>
  <si>
    <t>1.176 463 543</t>
  </si>
  <si>
    <t>castilloramses@gmail.com</t>
  </si>
  <si>
    <t>erikagaleano2009@gmail.com</t>
  </si>
  <si>
    <t>juangiraldogeneralsantander@gmail.com</t>
  </si>
  <si>
    <t>gomezcordobasharon26@gmail.com</t>
  </si>
  <si>
    <t>isazavaleria358@gmail.com</t>
  </si>
  <si>
    <t>linerovallesmaria@gmail.com</t>
  </si>
  <si>
    <t>melaniilopezzw@gmail.com</t>
  </si>
  <si>
    <t xml:space="preserve">marbellasofiatorresvelazques@gmail.com </t>
  </si>
  <si>
    <t>dpalomobarreto@gmail.com</t>
  </si>
  <si>
    <t>alejandra.pinzon0703@gmail.com</t>
  </si>
  <si>
    <t>riveronoryelis4@gmail.com</t>
  </si>
  <si>
    <t>lalavalentina25@gmail.com</t>
  </si>
  <si>
    <t>rodriguezsaenzb7@gmail.com</t>
  </si>
  <si>
    <t>toromedina15@gmail.com</t>
  </si>
  <si>
    <t>lyndasofia2009@gmail.com</t>
  </si>
  <si>
    <t>isabezamudio2010@gmail.com</t>
  </si>
  <si>
    <t>316 1970222</t>
  </si>
  <si>
    <t>318 5703422</t>
  </si>
  <si>
    <t>Mayra Isabel argote padilla</t>
  </si>
  <si>
    <t>Astrid Lorena Cruz Rodríguez</t>
  </si>
  <si>
    <t>Eneida</t>
  </si>
  <si>
    <t>eneidarodriguezbarrera@gmail.com</t>
  </si>
  <si>
    <t>313 4509324</t>
  </si>
  <si>
    <t>https://drive.google.com/drive/folders/13XPd9aHlMpr7-sAqPlOxL6dIfpQ7lpgr</t>
  </si>
  <si>
    <t>Diana Karina Guette Rincones</t>
  </si>
  <si>
    <t>keina luz burgos palencia</t>
  </si>
  <si>
    <t>Jaquelin Lopez largo</t>
  </si>
  <si>
    <t>Jaquelopez 0907@gmail.com</t>
  </si>
  <si>
    <t>https://drive.google.com/drive/folders/1GJusHMBSRpUz4W1RzR_87z-zwuD3Nj2M</t>
  </si>
  <si>
    <t>laurariao.86@gmail.com</t>
  </si>
  <si>
    <t>https://drive.google.com/drive/folders/1eibaCdwXbNXtMJC_6VRy72rEaLnpDExH?usp=drive_link</t>
  </si>
  <si>
    <t>Jessica Tatiana Cordoba Lara</t>
  </si>
  <si>
    <t>Tato032108@hotmail.com</t>
  </si>
  <si>
    <t>https://drive.google.com/drive/folders/1VlZZFYlZLT_RvtU2ckh3YkdVqJx24-Y2?usp=drive_link</t>
  </si>
  <si>
    <t>Leidy Patricia Reino Montiel</t>
  </si>
  <si>
    <t>leidyreino@gmail.com</t>
  </si>
  <si>
    <t>https://drive.google.com/drive/folders/1CCnDgIGwlbrit8W7rVtnOxuXqhVqvMdi</t>
  </si>
  <si>
    <t>Katherine Lisbeth Valles de Linero</t>
  </si>
  <si>
    <t>valles.kathy@hotmail.com</t>
  </si>
  <si>
    <t>https://drive.google.com/drive/folders/1QTrSHeQaYDndAPTVQeN1VBEZC7yoS0qK?usp=drive_link</t>
  </si>
  <si>
    <t>LUZ MERK AREVALO GUTIERREZ</t>
  </si>
  <si>
    <t>luzmerk@gmail.com</t>
  </si>
  <si>
    <t>https://drive.google.com/drive/folders/1HdXDfh9iw8QtOMHtUVmMivxtR-Z_9UMl?usp=drive_link</t>
  </si>
  <si>
    <t>Henry Jose</t>
  </si>
  <si>
    <t>Henry.martynez2200@gmail.com</t>
  </si>
  <si>
    <t>https://drive.google.com/drive/folders/1P9QU6b_lRWCRFSdqd1-blUQ-m_W0Tv7U</t>
  </si>
  <si>
    <t>Jesica Barreto lopez</t>
  </si>
  <si>
    <t>jesi1515@hotmail.com</t>
  </si>
  <si>
    <t>Ana Leidy Pinzon Castillo</t>
  </si>
  <si>
    <t>anapinzoncastillo0515@fmail.com</t>
  </si>
  <si>
    <t>https://drive.google.com/drive/folders/141rqIsWOfzB42VRjzhg4j5OgU7zwqYGk?usp=drive_link</t>
  </si>
  <si>
    <t>José Miguel Rivero García</t>
  </si>
  <si>
    <t>josemiguelgarcia2017@outlook.com</t>
  </si>
  <si>
    <t>322 8971023</t>
  </si>
  <si>
    <t>https://drive.google.com/drive/folders/1bbfeJNxHPZRXzUKcP1z_WlA6jEJPS_an</t>
  </si>
  <si>
    <t>Johana Gonzalez</t>
  </si>
  <si>
    <t>yobaagt21021992@gmail.com</t>
  </si>
  <si>
    <t>https://drive.google.com/drive/folders/1Ybe1Q1OzmPZ0zs9bCVOhP5U_RACDdoQ7?usp=drive_link</t>
  </si>
  <si>
    <t>Yuli Esperanza Saenz Gamba</t>
  </si>
  <si>
    <t>espesaens@gmail.com</t>
  </si>
  <si>
    <t>https://drive.google.com/drive/folders/1eOyg2HhwjpDKxOBQXXnGLBAQpLS7ZBqh?usp=drive_link</t>
  </si>
  <si>
    <t>Genesis Medina</t>
  </si>
  <si>
    <t>genesisjuliana3010@gmail.com</t>
  </si>
  <si>
    <t>https://drive.google.com/drive/folders/10cekOKfwjErJdHEkDEuZzmKR9gGdsMcY</t>
  </si>
  <si>
    <t>Diana Maria Álvarez Muñoz</t>
  </si>
  <si>
    <t>Dianamariaalvarez88@gmail.com</t>
  </si>
  <si>
    <t>https://drive.google.com/drive/folders/1q6STje_dIGb-RjZd9v2SZ-HzlxTEtEJl</t>
  </si>
  <si>
    <t>Martha Liliana izquierdo</t>
  </si>
  <si>
    <t>Lilianaizquierdo.72@gmail.com</t>
  </si>
  <si>
    <t>https://drive.google.com/drive/folders/1tslRQj7iuPkwZkmsWzOlWiUYSl8_Iu72</t>
  </si>
  <si>
    <t>CARLOS ALBRTO SALCEDO DURAN</t>
  </si>
  <si>
    <t xml:space="preserve">ASESORIA COMERCIAL </t>
  </si>
  <si>
    <t>Hernández Zabala Yudy Alejandra</t>
  </si>
  <si>
    <t>hernandezzabala25.12@gmail.com</t>
  </si>
  <si>
    <t>Nelsy Zabala Trujillo</t>
  </si>
  <si>
    <t>nelsyzabala10@gmail.com</t>
  </si>
  <si>
    <t>Silvia Rodriguez</t>
  </si>
  <si>
    <t>silviaymervin16@gmail.com</t>
  </si>
  <si>
    <t>mayerlypico04@gmail.com</t>
  </si>
  <si>
    <t>Fidel Cupritra</t>
  </si>
  <si>
    <t>cupitrafidel910@gmail.com</t>
  </si>
  <si>
    <t>https://drive.google.com/drive/folders/1PlEyYMhLvZJBWKIMpLp1UiC2rtpa1pcF</t>
  </si>
  <si>
    <t xml:space="preserve">Rivas Rodriguez Mervi Andrress </t>
  </si>
  <si>
    <t>https://drive.google.com/drive/folders/16cwnoo9H4kVuVWu3qbAxs_mRrGsUCPpH</t>
  </si>
  <si>
    <t xml:space="preserve">Mahitel Isabel </t>
  </si>
  <si>
    <t>Acosta Argote</t>
  </si>
  <si>
    <t xml:space="preserve">Lynda Sofía </t>
  </si>
  <si>
    <t>Torres Álvarez</t>
  </si>
  <si>
    <t>Dayrelis Alejandra</t>
  </si>
  <si>
    <t>Padrón Flores</t>
  </si>
  <si>
    <t xml:space="preserve">Ramsés Alexandry </t>
  </si>
  <si>
    <t>Castillo Rodríguez</t>
  </si>
  <si>
    <t xml:space="preserve">Michel Valentina </t>
  </si>
  <si>
    <t>Álvarez Vargas</t>
  </si>
  <si>
    <t xml:space="preserve">María del Carmen </t>
  </si>
  <si>
    <t xml:space="preserve">Linero Valles </t>
  </si>
  <si>
    <t>Brittany Angelina</t>
  </si>
  <si>
    <t>Gil Muchacho</t>
  </si>
  <si>
    <t>Laura Valentina</t>
  </si>
  <si>
    <t>Rodríguez González</t>
  </si>
  <si>
    <t>Melani Williani</t>
  </si>
  <si>
    <t xml:space="preserve">López Gutiérrez </t>
  </si>
  <si>
    <t>Brigiht Geraldine</t>
  </si>
  <si>
    <t xml:space="preserve">Avilez Cruz </t>
  </si>
  <si>
    <t>Sharon Mariana</t>
  </si>
  <si>
    <t>Gómez Córdoba</t>
  </si>
  <si>
    <t>Danna Valentina</t>
  </si>
  <si>
    <t>Palomo Barreto</t>
  </si>
  <si>
    <t>Paula Alejandra</t>
  </si>
  <si>
    <t>Pinzón Castillo</t>
  </si>
  <si>
    <t>Nathalia Sofia</t>
  </si>
  <si>
    <t>Fernández Guette</t>
  </si>
  <si>
    <t>Noryelis Dayana</t>
  </si>
  <si>
    <t>Rivero Pabón</t>
  </si>
  <si>
    <t>Valeria Andrea</t>
  </si>
  <si>
    <t>Isaza Reino</t>
  </si>
  <si>
    <t>Dairy Nikoll</t>
  </si>
  <si>
    <t>Toro Medina</t>
  </si>
  <si>
    <t>Brayan De Jesús</t>
  </si>
  <si>
    <t>Ferrer Burgos</t>
  </si>
  <si>
    <t xml:space="preserve">Mervi Andrress </t>
  </si>
  <si>
    <t>Rivas Rodriguez</t>
  </si>
  <si>
    <t>mervinandressrivasrodirguez9@gmail.com</t>
  </si>
  <si>
    <t>Juan Felipe</t>
  </si>
  <si>
    <t>Giraldo Martínez</t>
  </si>
  <si>
    <t xml:space="preserve">Pico Peñaloza Mayerly Juliana </t>
  </si>
  <si>
    <t xml:space="preserve">Mayerly Juliana </t>
  </si>
  <si>
    <t>Pico Peñaloza</t>
  </si>
  <si>
    <t xml:space="preserve">Erika Lindsay </t>
  </si>
  <si>
    <t xml:space="preserve">Galeano López </t>
  </si>
  <si>
    <t>https://drive.google.com/drive/folders/1lyiR1L5v3uR5DGJIYPttPeTa0BTtq0fa</t>
  </si>
  <si>
    <t>Hernández Zabala</t>
  </si>
  <si>
    <t>María Isabel</t>
  </si>
  <si>
    <t>Zamudio Izquierdo</t>
  </si>
  <si>
    <t>Brayan Sebastián</t>
  </si>
  <si>
    <t>Rodríguez Sáenz</t>
  </si>
  <si>
    <t>Nombre</t>
  </si>
  <si>
    <t>ID_Drive</t>
  </si>
  <si>
    <t>Correo_Acudiente</t>
  </si>
  <si>
    <t>Tipo de documento</t>
  </si>
  <si>
    <t xml:space="preserve">Mal  elaborado el link </t>
  </si>
  <si>
    <t>https://drive.google.com/drive/folders/13PgYBYX86SyYCnYTj8XmABOhcPCgOppG</t>
  </si>
  <si>
    <t>Yudy Alejandra</t>
  </si>
  <si>
    <t>Crazy Strawberries</t>
  </si>
  <si>
    <t>Súper Nova</t>
  </si>
  <si>
    <t>Nubes de Postres</t>
  </si>
  <si>
    <t xml:space="preserve">Mini Sugar Love </t>
  </si>
  <si>
    <t>Lash Queens</t>
  </si>
  <si>
    <t>Kokoro Ink</t>
  </si>
  <si>
    <t>mervinandressrivasrodriguez9@gmail.com</t>
  </si>
  <si>
    <t xml:space="preserve">marbellasofiatorresvelasquez@gmail.com </t>
  </si>
  <si>
    <t xml:space="preserve">brigihtgeraldinavilezcruz@gmail.com </t>
  </si>
  <si>
    <t>castilloramses2020@gmail.com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</si>
</sst>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6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sz val="11"/>
      <name val="Calibri"/>
      <family val="2"/>
    </font>
    <font>
      <u/>
      <sz val="12"/>
      <color theme="10"/>
      <name val="Calibri"/>
      <family val="2"/>
      <scheme val="minor"/>
    </font>
    <font>
      <sz val="10"/>
      <name val="Roboto"/>
    </font>
    <font>
      <u/>
      <sz val="12"/>
      <name val="Calibri"/>
      <family val="2"/>
      <scheme val="minor"/>
    </font>
    <font>
      <u/>
      <sz val="11"/>
      <name val="Calibri"/>
      <family val="2"/>
    </font>
    <font>
      <sz val="11"/>
      <name val="&quot;Google Sans&quot;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9" fillId="0" borderId="0" applyNumberFormat="0" applyFill="0" applyBorder="0" applyAlignment="0" applyProtection="0"/>
  </cellStyleXfs>
  <cellXfs count="211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5" xfId="0" applyFont="1" applyBorder="1" applyAlignment="1">
      <alignment horizontal="center" vertical="center"/>
    </xf>
    <xf numFmtId="0" fontId="27" fillId="0" borderId="29" xfId="0" applyFont="1" applyBorder="1" applyAlignment="1">
      <alignment vertical="center"/>
    </xf>
    <xf numFmtId="0" fontId="49" fillId="0" borderId="29" xfId="0" applyFont="1" applyBorder="1" applyAlignment="1">
      <alignment vertical="center"/>
    </xf>
    <xf numFmtId="0" fontId="50" fillId="0" borderId="29" xfId="0" applyFont="1" applyBorder="1" applyAlignment="1">
      <alignment vertical="center"/>
    </xf>
    <xf numFmtId="0" fontId="27" fillId="0" borderId="0" xfId="0" applyFont="1"/>
    <xf numFmtId="0" fontId="27" fillId="0" borderId="2" xfId="0" applyFont="1" applyBorder="1" applyAlignment="1">
      <alignment horizontal="center" vertical="center"/>
    </xf>
    <xf numFmtId="0" fontId="27" fillId="0" borderId="58" xfId="0" applyFont="1" applyBorder="1" applyAlignment="1">
      <alignment vertical="center"/>
    </xf>
    <xf numFmtId="0" fontId="27" fillId="0" borderId="58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52" fillId="0" borderId="0" xfId="0" applyFont="1"/>
    <xf numFmtId="0" fontId="51" fillId="0" borderId="0" xfId="0" applyFont="1" applyAlignment="1">
      <alignment horizontal="center"/>
    </xf>
    <xf numFmtId="0" fontId="51" fillId="0" borderId="59" xfId="0" applyFont="1" applyBorder="1"/>
    <xf numFmtId="0" fontId="51" fillId="0" borderId="60" xfId="0" applyFont="1" applyBorder="1" applyAlignment="1">
      <alignment horizontal="center"/>
    </xf>
    <xf numFmtId="0" fontId="51" fillId="0" borderId="61" xfId="0" applyFont="1" applyBorder="1" applyAlignment="1">
      <alignment horizontal="center"/>
    </xf>
    <xf numFmtId="0" fontId="51" fillId="0" borderId="29" xfId="0" applyFont="1" applyBorder="1"/>
    <xf numFmtId="0" fontId="51" fillId="0" borderId="66" xfId="0" applyFont="1" applyBorder="1"/>
    <xf numFmtId="0" fontId="51" fillId="0" borderId="67" xfId="0" applyFont="1" applyBorder="1"/>
    <xf numFmtId="0" fontId="51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46" fillId="0" borderId="29" xfId="0" applyFont="1" applyBorder="1" applyAlignment="1">
      <alignment vertical="center"/>
    </xf>
    <xf numFmtId="0" fontId="46" fillId="0" borderId="58" xfId="0" applyFont="1" applyBorder="1" applyAlignment="1">
      <alignment vertical="center"/>
    </xf>
    <xf numFmtId="0" fontId="27" fillId="0" borderId="4" xfId="0" applyFont="1" applyBorder="1" applyAlignment="1">
      <alignment horizontal="center" vertical="center"/>
    </xf>
    <xf numFmtId="0" fontId="27" fillId="0" borderId="41" xfId="0" applyFont="1" applyBorder="1" applyAlignment="1">
      <alignment vertical="center"/>
    </xf>
    <xf numFmtId="0" fontId="60" fillId="16" borderId="68" xfId="0" applyFont="1" applyFill="1" applyBorder="1" applyAlignment="1">
      <alignment horizontal="right" vertical="center" wrapText="1"/>
    </xf>
    <xf numFmtId="3" fontId="60" fillId="16" borderId="68" xfId="0" applyNumberFormat="1" applyFont="1" applyFill="1" applyBorder="1" applyAlignment="1">
      <alignment horizontal="right" vertical="center" wrapText="1"/>
    </xf>
    <xf numFmtId="0" fontId="46" fillId="0" borderId="41" xfId="0" applyFont="1" applyBorder="1" applyAlignment="1">
      <alignment vertical="center"/>
    </xf>
    <xf numFmtId="0" fontId="61" fillId="0" borderId="4" xfId="1" applyFont="1" applyBorder="1" applyAlignment="1">
      <alignment vertical="center"/>
    </xf>
    <xf numFmtId="0" fontId="60" fillId="16" borderId="69" xfId="0" applyFont="1" applyFill="1" applyBorder="1" applyAlignment="1">
      <alignment horizontal="right" vertical="center" wrapText="1"/>
    </xf>
    <xf numFmtId="0" fontId="62" fillId="0" borderId="4" xfId="0" applyFont="1" applyBorder="1" applyAlignment="1">
      <alignment vertical="center"/>
    </xf>
    <xf numFmtId="0" fontId="63" fillId="14" borderId="56" xfId="0" applyFont="1" applyFill="1" applyBorder="1" applyAlignment="1">
      <alignment horizontal="center" vertical="center"/>
    </xf>
    <xf numFmtId="0" fontId="58" fillId="0" borderId="4" xfId="0" applyFont="1" applyBorder="1" applyAlignment="1">
      <alignment vertical="center"/>
    </xf>
    <xf numFmtId="0" fontId="59" fillId="16" borderId="68" xfId="1" applyFill="1" applyBorder="1" applyAlignment="1">
      <alignment horizontal="left" vertical="center" wrapText="1"/>
    </xf>
    <xf numFmtId="0" fontId="59" fillId="0" borderId="41" xfId="1" applyBorder="1" applyAlignment="1">
      <alignment horizontal="right" vertical="center"/>
    </xf>
    <xf numFmtId="0" fontId="27" fillId="0" borderId="41" xfId="0" applyFont="1" applyBorder="1" applyAlignment="1">
      <alignment horizontal="right" vertical="center"/>
    </xf>
    <xf numFmtId="0" fontId="49" fillId="0" borderId="58" xfId="0" applyFont="1" applyBorder="1" applyAlignment="1">
      <alignment vertical="center"/>
    </xf>
    <xf numFmtId="0" fontId="59" fillId="0" borderId="58" xfId="1" applyBorder="1" applyAlignment="1">
      <alignment horizontal="right" vertical="center"/>
    </xf>
    <xf numFmtId="0" fontId="27" fillId="0" borderId="58" xfId="0" applyFont="1" applyBorder="1" applyAlignment="1">
      <alignment horizontal="right" vertical="center"/>
    </xf>
    <xf numFmtId="0" fontId="27" fillId="0" borderId="71" xfId="0" applyFont="1" applyFill="1" applyBorder="1" applyAlignment="1">
      <alignment vertical="center"/>
    </xf>
    <xf numFmtId="0" fontId="27" fillId="0" borderId="13" xfId="0" applyFont="1" applyBorder="1" applyAlignment="1">
      <alignment horizontal="center" vertical="center"/>
    </xf>
    <xf numFmtId="0" fontId="0" fillId="0" borderId="68" xfId="0" applyBorder="1"/>
    <xf numFmtId="0" fontId="59" fillId="0" borderId="68" xfId="1" applyBorder="1"/>
    <xf numFmtId="0" fontId="59" fillId="0" borderId="68" xfId="1" applyBorder="1" applyAlignment="1">
      <alignment horizontal="right"/>
    </xf>
    <xf numFmtId="0" fontId="64" fillId="0" borderId="68" xfId="0" applyFont="1" applyBorder="1" applyAlignment="1">
      <alignment horizontal="right"/>
    </xf>
    <xf numFmtId="0" fontId="60" fillId="17" borderId="68" xfId="0" applyFont="1" applyFill="1" applyBorder="1" applyAlignment="1">
      <alignment vertical="center" wrapText="1"/>
    </xf>
    <xf numFmtId="0" fontId="60" fillId="18" borderId="68" xfId="0" applyFont="1" applyFill="1" applyBorder="1" applyAlignment="1">
      <alignment vertical="center" wrapText="1"/>
    </xf>
    <xf numFmtId="0" fontId="58" fillId="0" borderId="68" xfId="0" applyFont="1" applyFill="1" applyBorder="1" applyAlignment="1">
      <alignment vertical="center"/>
    </xf>
    <xf numFmtId="0" fontId="58" fillId="0" borderId="70" xfId="0" applyFont="1" applyFill="1" applyBorder="1" applyAlignment="1">
      <alignment vertical="center"/>
    </xf>
    <xf numFmtId="0" fontId="65" fillId="0" borderId="68" xfId="0" applyFont="1" applyBorder="1"/>
    <xf numFmtId="0" fontId="59" fillId="0" borderId="58" xfId="1" applyBorder="1" applyAlignment="1">
      <alignment vertical="center"/>
    </xf>
    <xf numFmtId="0" fontId="59" fillId="16" borderId="69" xfId="1" applyFill="1" applyBorder="1" applyAlignment="1">
      <alignment horizontal="right" vertical="center" wrapText="1"/>
    </xf>
    <xf numFmtId="0" fontId="59" fillId="0" borderId="63" xfId="1" applyBorder="1"/>
    <xf numFmtId="0" fontId="59" fillId="0" borderId="67" xfId="1" applyBorder="1"/>
    <xf numFmtId="0" fontId="59" fillId="0" borderId="41" xfId="1" applyBorder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7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6" xfId="0" applyFont="1" applyFill="1" applyBorder="1" applyAlignment="1">
      <alignment horizontal="center"/>
    </xf>
    <xf numFmtId="0" fontId="2" fillId="0" borderId="56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34" fillId="3" borderId="52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52" xfId="0" applyFont="1" applyFill="1" applyBorder="1" applyAlignment="1">
      <alignment horizontal="center" vertical="center"/>
    </xf>
    <xf numFmtId="0" fontId="39" fillId="8" borderId="3" xfId="0" applyFont="1" applyFill="1" applyBorder="1" applyAlignment="1">
      <alignment horizontal="left" vertical="center"/>
    </xf>
    <xf numFmtId="0" fontId="59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41" fillId="0" borderId="3" xfId="0" applyFont="1" applyBorder="1" applyAlignment="1">
      <alignment horizontal="center"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1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3" fillId="15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83"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2"/>
      <tableStyleElement type="headerRow" dxfId="81"/>
      <tableStyleElement type="firstRowStripe" dxfId="80"/>
      <tableStyleElement type="secondRowStripe" dxfId="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QTrSHeQaYDndAPTVQeN1VBEZC7yoS0qK?usp=drive_link" TargetMode="External"/><Relationship Id="rId18" Type="http://schemas.openxmlformats.org/officeDocument/2006/relationships/hyperlink" Target="https://drive.google.com/drive/folders/1bbfeJNxHPZRXzUKcP1z_WlA6jEJPS_an" TargetMode="External"/><Relationship Id="rId26" Type="http://schemas.openxmlformats.org/officeDocument/2006/relationships/hyperlink" Target="mailto:mervinandressrivasrodriguez9@gmail.com" TargetMode="External"/><Relationship Id="rId39" Type="http://schemas.openxmlformats.org/officeDocument/2006/relationships/hyperlink" Target="mailto:lalavalentina25@gmail.com" TargetMode="External"/><Relationship Id="rId21" Type="http://schemas.openxmlformats.org/officeDocument/2006/relationships/hyperlink" Target="https://drive.google.com/drive/folders/10cekOKfwjErJdHEkDEuZzmKR9gGdsMcY" TargetMode="External"/><Relationship Id="rId34" Type="http://schemas.openxmlformats.org/officeDocument/2006/relationships/hyperlink" Target="mailto:castilloramses2020@gmail.com" TargetMode="External"/><Relationship Id="rId42" Type="http://schemas.openxmlformats.org/officeDocument/2006/relationships/hyperlink" Target="mailto:gomezcordobasharon26@gmail.com" TargetMode="External"/><Relationship Id="rId47" Type="http://schemas.openxmlformats.org/officeDocument/2006/relationships/hyperlink" Target="mailto:isazavaleria358@gmail.com" TargetMode="External"/><Relationship Id="rId50" Type="http://schemas.openxmlformats.org/officeDocument/2006/relationships/hyperlink" Target="mailto:juangiraldogeneralsantander@gmail.com" TargetMode="External"/><Relationship Id="rId55" Type="http://schemas.openxmlformats.org/officeDocument/2006/relationships/printerSettings" Target="../printerSettings/printerSettings1.bin"/><Relationship Id="rId7" Type="http://schemas.openxmlformats.org/officeDocument/2006/relationships/hyperlink" Target="https://drive.google.com/drive/folders/1YfMel2eCpjgOIiGZVJz-PMrFYmrTcJYX" TargetMode="External"/><Relationship Id="rId2" Type="http://schemas.openxmlformats.org/officeDocument/2006/relationships/hyperlink" Target="https://drive.google.com/drive/folders/1BLFw-GQyP-eENIihSkCek39cNUilotzW" TargetMode="External"/><Relationship Id="rId16" Type="http://schemas.openxmlformats.org/officeDocument/2006/relationships/hyperlink" Target="https://drive.google.com/drive/folders/13PgYBYX86SyYCnYTj8XmABOhcPCgOppG" TargetMode="External"/><Relationship Id="rId29" Type="http://schemas.openxmlformats.org/officeDocument/2006/relationships/hyperlink" Target="mailto:cupitrafidel910@gmail.com" TargetMode="External"/><Relationship Id="rId11" Type="http://schemas.openxmlformats.org/officeDocument/2006/relationships/hyperlink" Target="https://drive.google.com/drive/folders/1VlZZFYlZLT_RvtU2ckh3YkdVqJx24-Y2?usp=drive_link" TargetMode="External"/><Relationship Id="rId24" Type="http://schemas.openxmlformats.org/officeDocument/2006/relationships/hyperlink" Target="mailto:hernandezzabala25.12@gmail.com" TargetMode="External"/><Relationship Id="rId32" Type="http://schemas.openxmlformats.org/officeDocument/2006/relationships/hyperlink" Target="mailto:mahitelisabelacostaargote@gmail.com" TargetMode="External"/><Relationship Id="rId37" Type="http://schemas.openxmlformats.org/officeDocument/2006/relationships/hyperlink" Target="mailto:linerovallesmaria@gmail.com" TargetMode="External"/><Relationship Id="rId40" Type="http://schemas.openxmlformats.org/officeDocument/2006/relationships/hyperlink" Target="mailto:melaniilopezzw@gmail.com" TargetMode="External"/><Relationship Id="rId45" Type="http://schemas.openxmlformats.org/officeDocument/2006/relationships/hyperlink" Target="mailto:sofiguette96@gmail.com" TargetMode="External"/><Relationship Id="rId53" Type="http://schemas.openxmlformats.org/officeDocument/2006/relationships/hyperlink" Target="mailto:isabezamudio2010@gmail.com" TargetMode="External"/><Relationship Id="rId5" Type="http://schemas.openxmlformats.org/officeDocument/2006/relationships/hyperlink" Target="https://drive.google.com/drive/folders/13XPd9aHlMpr7-sAqPlOxL6dIfpQ7lpgr" TargetMode="External"/><Relationship Id="rId10" Type="http://schemas.openxmlformats.org/officeDocument/2006/relationships/hyperlink" Target="https://drive.google.com/drive/folders/1OAhjZoirB6WYi0jh9lnR0oYYqHiSm0ST" TargetMode="External"/><Relationship Id="rId19" Type="http://schemas.openxmlformats.org/officeDocument/2006/relationships/hyperlink" Target="https://drive.google.com/drive/folders/1Ybe1Q1OzmPZ0zs9bCVOhP5U_RACDdoQ7?usp=drive_link" TargetMode="External"/><Relationship Id="rId31" Type="http://schemas.openxmlformats.org/officeDocument/2006/relationships/hyperlink" Target="https://drive.google.com/drive/folders/16cwnoo9H4kVuVWu3qbAxs_mRrGsUCPpH" TargetMode="External"/><Relationship Id="rId44" Type="http://schemas.openxmlformats.org/officeDocument/2006/relationships/hyperlink" Target="mailto:alejandra.pinzon0703@gmail.com" TargetMode="External"/><Relationship Id="rId52" Type="http://schemas.openxmlformats.org/officeDocument/2006/relationships/hyperlink" Target="https://drive.google.com/drive/folders/1lyiR1L5v3uR5DGJIYPttPeTa0BTtq0fa" TargetMode="External"/><Relationship Id="rId4" Type="http://schemas.openxmlformats.org/officeDocument/2006/relationships/hyperlink" Target="https://drive.google.com/drive/folders/1GXJComDDNdrAuvREuBPgUk1_4nsOmj67?usp=drive_link" TargetMode="External"/><Relationship Id="rId9" Type="http://schemas.openxmlformats.org/officeDocument/2006/relationships/hyperlink" Target="https://drive.google.com/drive/folders/1eibaCdwXbNXtMJC_6VRy72rEaLnpDExH?usp=drive_link" TargetMode="External"/><Relationship Id="rId14" Type="http://schemas.openxmlformats.org/officeDocument/2006/relationships/hyperlink" Target="https://drive.google.com/drive/folders/1HdXDfh9iw8QtOMHtUVmMivxtR-Z_9UMl?usp=drive_link" TargetMode="External"/><Relationship Id="rId22" Type="http://schemas.openxmlformats.org/officeDocument/2006/relationships/hyperlink" Target="https://drive.google.com/drive/folders/1q6STje_dIGb-RjZd9v2SZ-HzlxTEtEJl" TargetMode="External"/><Relationship Id="rId27" Type="http://schemas.openxmlformats.org/officeDocument/2006/relationships/hyperlink" Target="mailto:silviaymervin16@gmail.com" TargetMode="External"/><Relationship Id="rId30" Type="http://schemas.openxmlformats.org/officeDocument/2006/relationships/hyperlink" Target="https://drive.google.com/drive/folders/1PlEyYMhLvZJBWKIMpLp1UiC2rtpa1pcF" TargetMode="External"/><Relationship Id="rId35" Type="http://schemas.openxmlformats.org/officeDocument/2006/relationships/hyperlink" Target="mailto:marbellasofiatorresvelasquez@gmail.com" TargetMode="External"/><Relationship Id="rId43" Type="http://schemas.openxmlformats.org/officeDocument/2006/relationships/hyperlink" Target="mailto:dpalomobarreto@gmail.com" TargetMode="External"/><Relationship Id="rId48" Type="http://schemas.openxmlformats.org/officeDocument/2006/relationships/hyperlink" Target="mailto:toromedina15@gmail.com" TargetMode="External"/><Relationship Id="rId56" Type="http://schemas.openxmlformats.org/officeDocument/2006/relationships/table" Target="../tables/table1.xml"/><Relationship Id="rId8" Type="http://schemas.openxmlformats.org/officeDocument/2006/relationships/hyperlink" Target="https://drive.google.com/drive/folders/1GJusHMBSRpUz4W1RzR_87z-zwuD3Nj2M" TargetMode="External"/><Relationship Id="rId51" Type="http://schemas.openxmlformats.org/officeDocument/2006/relationships/hyperlink" Target="mailto:erikagaleano2009@gmail.com" TargetMode="External"/><Relationship Id="rId3" Type="http://schemas.openxmlformats.org/officeDocument/2006/relationships/hyperlink" Target="https://drive.google.com/drive/folders/1NoWIJAN4eLsC1X2v7w0ofIP2Aw443K3A?usp=drive_link" TargetMode="External"/><Relationship Id="rId12" Type="http://schemas.openxmlformats.org/officeDocument/2006/relationships/hyperlink" Target="https://drive.google.com/drive/folders/1CCnDgIGwlbrit8W7rVtnOxuXqhVqvMdi" TargetMode="External"/><Relationship Id="rId17" Type="http://schemas.openxmlformats.org/officeDocument/2006/relationships/hyperlink" Target="https://drive.google.com/drive/folders/141rqIsWOfzB42VRjzhg4j5OgU7zwqYGk?usp=drive_link" TargetMode="External"/><Relationship Id="rId25" Type="http://schemas.openxmlformats.org/officeDocument/2006/relationships/hyperlink" Target="mailto:nelsyzabala10@gmail.com" TargetMode="External"/><Relationship Id="rId33" Type="http://schemas.openxmlformats.org/officeDocument/2006/relationships/hyperlink" Target="mailto:lyndasofia2009@gmail.com" TargetMode="External"/><Relationship Id="rId38" Type="http://schemas.openxmlformats.org/officeDocument/2006/relationships/hyperlink" Target="mailto:gilmuchachob@gmail.com" TargetMode="External"/><Relationship Id="rId46" Type="http://schemas.openxmlformats.org/officeDocument/2006/relationships/hyperlink" Target="mailto:riveronoryelis4@gmail.com" TargetMode="External"/><Relationship Id="rId20" Type="http://schemas.openxmlformats.org/officeDocument/2006/relationships/hyperlink" Target="https://drive.google.com/drive/folders/1eOyg2HhwjpDKxOBQXXnGLBAQpLS7ZBqh?usp=drive_link" TargetMode="External"/><Relationship Id="rId41" Type="http://schemas.openxmlformats.org/officeDocument/2006/relationships/hyperlink" Target="mailto:brigihtgeraldinavilezcruz@gmail.com" TargetMode="External"/><Relationship Id="rId54" Type="http://schemas.openxmlformats.org/officeDocument/2006/relationships/hyperlink" Target="mailto:rodriguezsaenzb7@gmail.com" TargetMode="External"/><Relationship Id="rId1" Type="http://schemas.openxmlformats.org/officeDocument/2006/relationships/hyperlink" Target="mailto:csalcedo@sena.edu.co" TargetMode="External"/><Relationship Id="rId6" Type="http://schemas.openxmlformats.org/officeDocument/2006/relationships/hyperlink" Target="https://drive.google.com/drive/folders/1C96PgXEmw3xHweFytEOUZxygMA-z6Z1y" TargetMode="External"/><Relationship Id="rId15" Type="http://schemas.openxmlformats.org/officeDocument/2006/relationships/hyperlink" Target="https://drive.google.com/drive/folders/1P9QU6b_lRWCRFSdqd1-blUQ-m_W0Tv7U" TargetMode="External"/><Relationship Id="rId23" Type="http://schemas.openxmlformats.org/officeDocument/2006/relationships/hyperlink" Target="https://drive.google.com/drive/folders/1tslRQj7iuPkwZkmsWzOlWiUYSl8_Iu72" TargetMode="External"/><Relationship Id="rId28" Type="http://schemas.openxmlformats.org/officeDocument/2006/relationships/hyperlink" Target="mailto:mayerlypico04@gmail.com" TargetMode="External"/><Relationship Id="rId36" Type="http://schemas.openxmlformats.org/officeDocument/2006/relationships/hyperlink" Target="mailto:valentinamichelalvarez24@gmail.com" TargetMode="External"/><Relationship Id="rId49" Type="http://schemas.openxmlformats.org/officeDocument/2006/relationships/hyperlink" Target="mailto:brayan.djfb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lalavalentina25@gmail.com" TargetMode="External"/><Relationship Id="rId13" Type="http://schemas.openxmlformats.org/officeDocument/2006/relationships/hyperlink" Target="mailto:alejandra.pinzon0703@gmail.com" TargetMode="External"/><Relationship Id="rId18" Type="http://schemas.openxmlformats.org/officeDocument/2006/relationships/hyperlink" Target="mailto:brayan.djfb@gmail.com" TargetMode="External"/><Relationship Id="rId3" Type="http://schemas.openxmlformats.org/officeDocument/2006/relationships/hyperlink" Target="mailto:castilloramses@gmail.com" TargetMode="External"/><Relationship Id="rId21" Type="http://schemas.openxmlformats.org/officeDocument/2006/relationships/hyperlink" Target="mailto:mayerlypico04@gmail.com" TargetMode="External"/><Relationship Id="rId7" Type="http://schemas.openxmlformats.org/officeDocument/2006/relationships/hyperlink" Target="mailto:gilmuchachob@gmail.com" TargetMode="External"/><Relationship Id="rId12" Type="http://schemas.openxmlformats.org/officeDocument/2006/relationships/hyperlink" Target="mailto:dpalomobarreto@gmail.com" TargetMode="External"/><Relationship Id="rId17" Type="http://schemas.openxmlformats.org/officeDocument/2006/relationships/hyperlink" Target="mailto:toromedina15@gmail.com" TargetMode="External"/><Relationship Id="rId25" Type="http://schemas.openxmlformats.org/officeDocument/2006/relationships/hyperlink" Target="mailto:rodriguezsaenzb7@gmail.com" TargetMode="External"/><Relationship Id="rId2" Type="http://schemas.openxmlformats.org/officeDocument/2006/relationships/hyperlink" Target="mailto:lyndasofia2009@gmail.com" TargetMode="External"/><Relationship Id="rId16" Type="http://schemas.openxmlformats.org/officeDocument/2006/relationships/hyperlink" Target="mailto:isazavaleria358@gmail.com" TargetMode="External"/><Relationship Id="rId20" Type="http://schemas.openxmlformats.org/officeDocument/2006/relationships/hyperlink" Target="mailto:juangiraldogeneralsantander@gmail.com" TargetMode="External"/><Relationship Id="rId1" Type="http://schemas.openxmlformats.org/officeDocument/2006/relationships/hyperlink" Target="mailto:mahitelisabelacostaargote@gmail.com" TargetMode="External"/><Relationship Id="rId6" Type="http://schemas.openxmlformats.org/officeDocument/2006/relationships/hyperlink" Target="mailto:linerovallesmaria@gmail.com" TargetMode="External"/><Relationship Id="rId11" Type="http://schemas.openxmlformats.org/officeDocument/2006/relationships/hyperlink" Target="mailto:gomezcordobasharon26@gmail.com" TargetMode="External"/><Relationship Id="rId24" Type="http://schemas.openxmlformats.org/officeDocument/2006/relationships/hyperlink" Target="mailto:isabezamudio2010@gmail.com" TargetMode="External"/><Relationship Id="rId5" Type="http://schemas.openxmlformats.org/officeDocument/2006/relationships/hyperlink" Target="mailto:valentinamichelalvarez24@gmail.com" TargetMode="External"/><Relationship Id="rId15" Type="http://schemas.openxmlformats.org/officeDocument/2006/relationships/hyperlink" Target="mailto:riveronoryelis4@gmail.com" TargetMode="External"/><Relationship Id="rId23" Type="http://schemas.openxmlformats.org/officeDocument/2006/relationships/hyperlink" Target="mailto:hernandezzabala25.12@gmail.com" TargetMode="External"/><Relationship Id="rId10" Type="http://schemas.openxmlformats.org/officeDocument/2006/relationships/hyperlink" Target="mailto:brigihtgeraldineavilezcurz@gmail.com" TargetMode="External"/><Relationship Id="rId19" Type="http://schemas.openxmlformats.org/officeDocument/2006/relationships/hyperlink" Target="mailto:mervinandressrivasrodirguez9@gmail.com" TargetMode="External"/><Relationship Id="rId4" Type="http://schemas.openxmlformats.org/officeDocument/2006/relationships/hyperlink" Target="mailto:marbellasofiatorresvelazques@gmail.com" TargetMode="External"/><Relationship Id="rId9" Type="http://schemas.openxmlformats.org/officeDocument/2006/relationships/hyperlink" Target="mailto:melaniilopezzw@gmail.com" TargetMode="External"/><Relationship Id="rId14" Type="http://schemas.openxmlformats.org/officeDocument/2006/relationships/hyperlink" Target="mailto:sofiguette96@gmail.com" TargetMode="External"/><Relationship Id="rId22" Type="http://schemas.openxmlformats.org/officeDocument/2006/relationships/hyperlink" Target="mailto:erikagaleano200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41"/>
  <sheetViews>
    <sheetView showGridLines="0" tabSelected="1" topLeftCell="A16" workbookViewId="0">
      <selection activeCell="Z30" sqref="Z30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90"/>
      <c r="B1" s="191"/>
      <c r="C1" s="194" t="s">
        <v>0</v>
      </c>
      <c r="D1" s="140"/>
      <c r="E1" s="140"/>
      <c r="F1" s="191"/>
      <c r="G1" s="170" t="s">
        <v>1</v>
      </c>
      <c r="H1" s="124"/>
      <c r="I1" s="124"/>
      <c r="J1" s="124"/>
      <c r="K1" s="124"/>
      <c r="L1" s="124"/>
      <c r="M1" s="124"/>
      <c r="N1" s="124"/>
      <c r="O1" s="124"/>
      <c r="P1" s="177"/>
      <c r="Q1" s="124"/>
      <c r="R1" s="124"/>
      <c r="S1" s="174"/>
      <c r="T1" s="178"/>
      <c r="U1" s="119"/>
      <c r="V1" s="119"/>
      <c r="W1" s="119"/>
      <c r="X1" s="179"/>
      <c r="Y1" s="119"/>
      <c r="Z1" s="119"/>
      <c r="AA1" s="119"/>
      <c r="AB1" s="178"/>
      <c r="AC1" s="119"/>
      <c r="AD1" s="119"/>
      <c r="AE1" s="119"/>
      <c r="AF1" s="119"/>
      <c r="AG1" s="119"/>
      <c r="AH1" s="119"/>
      <c r="AI1" s="119"/>
      <c r="AJ1" s="119"/>
      <c r="AK1" s="122"/>
      <c r="AL1" s="118"/>
      <c r="AM1" s="119"/>
      <c r="AN1" s="119"/>
      <c r="AO1" s="119"/>
      <c r="AP1" s="119"/>
      <c r="AQ1" s="119"/>
      <c r="AR1" s="119"/>
      <c r="AS1" s="119"/>
      <c r="AT1" s="119"/>
      <c r="AU1" s="120"/>
      <c r="AV1" s="119"/>
      <c r="AW1" s="119"/>
      <c r="AX1" s="119"/>
      <c r="AY1" s="119"/>
      <c r="AZ1" s="119"/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19"/>
      <c r="BL1" s="119"/>
      <c r="BM1" s="119"/>
      <c r="BN1" s="119"/>
      <c r="BO1" s="119"/>
      <c r="BP1" s="119"/>
      <c r="BQ1" s="119"/>
      <c r="BR1" s="119"/>
      <c r="BS1" s="119"/>
      <c r="BT1" s="119"/>
      <c r="BU1" s="119"/>
      <c r="BV1" s="121"/>
      <c r="BW1" s="119"/>
      <c r="BX1" s="119"/>
      <c r="BY1" s="119"/>
      <c r="BZ1" s="119"/>
      <c r="CA1" s="119"/>
      <c r="CB1" s="119"/>
      <c r="CC1" s="119"/>
      <c r="CD1" s="119"/>
      <c r="CE1" s="119"/>
      <c r="CF1" s="119"/>
      <c r="CG1" s="119"/>
      <c r="CH1" s="119"/>
      <c r="CI1" s="119"/>
      <c r="CJ1" s="119"/>
      <c r="CK1" s="119"/>
      <c r="CL1" s="119"/>
      <c r="CM1" s="119"/>
      <c r="CN1" s="119"/>
      <c r="CO1" s="119"/>
      <c r="CP1" s="119"/>
      <c r="CQ1" s="119"/>
      <c r="CR1" s="122"/>
      <c r="CS1" s="125" t="s">
        <v>2</v>
      </c>
      <c r="CT1" s="126"/>
      <c r="CU1" s="126"/>
      <c r="CV1" s="126"/>
      <c r="CW1" s="127"/>
      <c r="CX1" s="1"/>
      <c r="CY1" s="142" t="s">
        <v>3</v>
      </c>
      <c r="CZ1" s="129"/>
      <c r="DA1" s="129"/>
      <c r="DB1" s="129"/>
      <c r="DC1" s="129"/>
      <c r="DD1" s="129"/>
      <c r="DE1" s="129"/>
      <c r="DF1" s="129"/>
      <c r="DG1" s="129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92"/>
      <c r="B2" s="193"/>
      <c r="C2" s="192"/>
      <c r="D2" s="172"/>
      <c r="E2" s="172"/>
      <c r="F2" s="193"/>
      <c r="G2" s="170" t="s">
        <v>4</v>
      </c>
      <c r="H2" s="124"/>
      <c r="I2" s="124"/>
      <c r="J2" s="124"/>
      <c r="K2" s="124"/>
      <c r="L2" s="124"/>
      <c r="M2" s="124"/>
      <c r="N2" s="124"/>
      <c r="O2" s="124"/>
      <c r="P2" s="171"/>
      <c r="Q2" s="172"/>
      <c r="R2" s="172"/>
      <c r="S2" s="172"/>
      <c r="T2" s="134"/>
      <c r="U2" s="124"/>
      <c r="V2" s="124"/>
      <c r="W2" s="136"/>
      <c r="X2" s="138"/>
      <c r="Y2" s="124"/>
      <c r="Z2" s="124"/>
      <c r="AA2" s="124"/>
      <c r="AB2" s="180"/>
      <c r="AC2" s="124"/>
      <c r="AD2" s="124"/>
      <c r="AE2" s="124"/>
      <c r="AF2" s="124"/>
      <c r="AG2" s="124"/>
      <c r="AH2" s="124"/>
      <c r="AI2" s="124"/>
      <c r="AJ2" s="124"/>
      <c r="AK2" s="136"/>
      <c r="AL2" s="138"/>
      <c r="AM2" s="124"/>
      <c r="AN2" s="124"/>
      <c r="AO2" s="124"/>
      <c r="AP2" s="124"/>
      <c r="AQ2" s="124"/>
      <c r="AR2" s="124"/>
      <c r="AS2" s="124"/>
      <c r="AT2" s="124"/>
      <c r="AU2" s="134"/>
      <c r="AV2" s="124"/>
      <c r="AW2" s="124"/>
      <c r="AX2" s="124"/>
      <c r="AY2" s="124"/>
      <c r="AZ2" s="124"/>
      <c r="BA2" s="124"/>
      <c r="BB2" s="124"/>
      <c r="BC2" s="124"/>
      <c r="BD2" s="124"/>
      <c r="BE2" s="124"/>
      <c r="BF2" s="124"/>
      <c r="BG2" s="124"/>
      <c r="BH2" s="124"/>
      <c r="BI2" s="124"/>
      <c r="BJ2" s="124"/>
      <c r="BK2" s="124"/>
      <c r="BL2" s="124"/>
      <c r="BM2" s="124"/>
      <c r="BN2" s="124"/>
      <c r="BO2" s="124"/>
      <c r="BP2" s="124"/>
      <c r="BQ2" s="124"/>
      <c r="BR2" s="124"/>
      <c r="BS2" s="124"/>
      <c r="BT2" s="124"/>
      <c r="BU2" s="124"/>
      <c r="BV2" s="135"/>
      <c r="BW2" s="124"/>
      <c r="BX2" s="124"/>
      <c r="BY2" s="124"/>
      <c r="BZ2" s="124"/>
      <c r="CA2" s="124"/>
      <c r="CB2" s="124"/>
      <c r="CC2" s="124"/>
      <c r="CD2" s="124"/>
      <c r="CE2" s="124"/>
      <c r="CF2" s="124"/>
      <c r="CG2" s="124"/>
      <c r="CH2" s="124"/>
      <c r="CI2" s="124"/>
      <c r="CJ2" s="124"/>
      <c r="CK2" s="124"/>
      <c r="CL2" s="124"/>
      <c r="CM2" s="124"/>
      <c r="CN2" s="124"/>
      <c r="CO2" s="124"/>
      <c r="CP2" s="124"/>
      <c r="CQ2" s="124"/>
      <c r="CR2" s="136"/>
      <c r="CS2" s="128"/>
      <c r="CT2" s="129"/>
      <c r="CU2" s="129"/>
      <c r="CV2" s="129"/>
      <c r="CW2" s="130"/>
      <c r="CX2" s="1"/>
      <c r="CY2" s="143">
        <f>COUNTA('BASE DE DATOS'!B10:B49)</f>
        <v>25</v>
      </c>
      <c r="CZ2" s="144"/>
      <c r="DA2" s="144"/>
      <c r="DB2" s="144"/>
      <c r="DC2" s="144"/>
      <c r="DD2" s="144"/>
      <c r="DE2" s="144"/>
      <c r="DF2" s="144"/>
      <c r="DG2" s="144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73" t="s">
        <v>5</v>
      </c>
      <c r="B3" s="124"/>
      <c r="C3" s="174"/>
      <c r="D3" s="175" t="s">
        <v>212</v>
      </c>
      <c r="E3" s="124"/>
      <c r="F3" s="174"/>
      <c r="G3" s="182" t="s">
        <v>6</v>
      </c>
      <c r="H3" s="124"/>
      <c r="I3" s="124"/>
      <c r="J3" s="124"/>
      <c r="K3" s="124"/>
      <c r="L3" s="124"/>
      <c r="M3" s="124"/>
      <c r="N3" s="124"/>
      <c r="O3" s="124"/>
      <c r="P3" s="176"/>
      <c r="Q3" s="124"/>
      <c r="R3" s="124"/>
      <c r="S3" s="124"/>
      <c r="T3" s="165"/>
      <c r="U3" s="124"/>
      <c r="V3" s="124"/>
      <c r="W3" s="136"/>
      <c r="X3" s="166"/>
      <c r="Y3" s="124"/>
      <c r="Z3" s="124"/>
      <c r="AA3" s="124"/>
      <c r="AB3" s="165"/>
      <c r="AC3" s="124"/>
      <c r="AD3" s="124"/>
      <c r="AE3" s="124"/>
      <c r="AF3" s="124"/>
      <c r="AG3" s="124"/>
      <c r="AH3" s="124"/>
      <c r="AI3" s="124"/>
      <c r="AJ3" s="124"/>
      <c r="AK3" s="136"/>
      <c r="AL3" s="123"/>
      <c r="AM3" s="124"/>
      <c r="AN3" s="124"/>
      <c r="AO3" s="124"/>
      <c r="AP3" s="124"/>
      <c r="AQ3" s="124"/>
      <c r="AR3" s="124"/>
      <c r="AS3" s="124"/>
      <c r="AT3" s="124"/>
      <c r="AU3" s="149"/>
      <c r="AV3" s="124"/>
      <c r="AW3" s="124"/>
      <c r="AX3" s="124"/>
      <c r="AY3" s="124"/>
      <c r="AZ3" s="124"/>
      <c r="BA3" s="124"/>
      <c r="BB3" s="124"/>
      <c r="BC3" s="124"/>
      <c r="BD3" s="124"/>
      <c r="BE3" s="124"/>
      <c r="BF3" s="124"/>
      <c r="BG3" s="124"/>
      <c r="BH3" s="124"/>
      <c r="BI3" s="124"/>
      <c r="BJ3" s="124"/>
      <c r="BK3" s="124"/>
      <c r="BL3" s="124"/>
      <c r="BM3" s="124"/>
      <c r="BN3" s="124"/>
      <c r="BO3" s="124"/>
      <c r="BP3" s="124"/>
      <c r="BQ3" s="124"/>
      <c r="BR3" s="124"/>
      <c r="BS3" s="124"/>
      <c r="BT3" s="124"/>
      <c r="BU3" s="124"/>
      <c r="BV3" s="137"/>
      <c r="BW3" s="124"/>
      <c r="BX3" s="124"/>
      <c r="BY3" s="124"/>
      <c r="BZ3" s="124"/>
      <c r="CA3" s="124"/>
      <c r="CB3" s="124"/>
      <c r="CC3" s="124"/>
      <c r="CD3" s="124"/>
      <c r="CE3" s="124"/>
      <c r="CF3" s="124"/>
      <c r="CG3" s="124"/>
      <c r="CH3" s="124"/>
      <c r="CI3" s="124"/>
      <c r="CJ3" s="124"/>
      <c r="CK3" s="124"/>
      <c r="CL3" s="124"/>
      <c r="CM3" s="124"/>
      <c r="CN3" s="124"/>
      <c r="CO3" s="124"/>
      <c r="CP3" s="124"/>
      <c r="CQ3" s="124"/>
      <c r="CR3" s="136"/>
      <c r="CS3" s="128"/>
      <c r="CT3" s="129"/>
      <c r="CU3" s="129"/>
      <c r="CV3" s="129"/>
      <c r="CW3" s="130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73" t="s">
        <v>7</v>
      </c>
      <c r="B4" s="124"/>
      <c r="C4" s="174"/>
      <c r="D4" s="181" t="s">
        <v>211</v>
      </c>
      <c r="E4" s="124"/>
      <c r="F4" s="174"/>
      <c r="G4" s="183" t="s">
        <v>8</v>
      </c>
      <c r="H4" s="140"/>
      <c r="I4" s="140"/>
      <c r="J4" s="140"/>
      <c r="K4" s="140"/>
      <c r="L4" s="140"/>
      <c r="M4" s="140"/>
      <c r="N4" s="140"/>
      <c r="O4" s="140"/>
      <c r="P4" s="185"/>
      <c r="Q4" s="140"/>
      <c r="R4" s="140"/>
      <c r="S4" s="140"/>
      <c r="T4" s="186"/>
      <c r="U4" s="140"/>
      <c r="V4" s="140"/>
      <c r="W4" s="141"/>
      <c r="X4" s="187"/>
      <c r="Y4" s="140"/>
      <c r="Z4" s="140"/>
      <c r="AA4" s="140"/>
      <c r="AB4" s="188"/>
      <c r="AC4" s="140"/>
      <c r="AD4" s="140"/>
      <c r="AE4" s="140"/>
      <c r="AF4" s="140"/>
      <c r="AG4" s="140"/>
      <c r="AH4" s="140"/>
      <c r="AI4" s="140"/>
      <c r="AJ4" s="140"/>
      <c r="AK4" s="141"/>
      <c r="AL4" s="139"/>
      <c r="AM4" s="140"/>
      <c r="AN4" s="140"/>
      <c r="AO4" s="140"/>
      <c r="AP4" s="140"/>
      <c r="AQ4" s="140"/>
      <c r="AR4" s="140"/>
      <c r="AS4" s="140"/>
      <c r="AT4" s="141"/>
      <c r="AU4" s="15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0"/>
      <c r="BO4" s="140"/>
      <c r="BP4" s="140"/>
      <c r="BQ4" s="140"/>
      <c r="BR4" s="140"/>
      <c r="BS4" s="140"/>
      <c r="BT4" s="140"/>
      <c r="BU4" s="140"/>
      <c r="BV4" s="151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0"/>
      <c r="CI4" s="140"/>
      <c r="CJ4" s="140"/>
      <c r="CK4" s="140"/>
      <c r="CL4" s="140"/>
      <c r="CM4" s="140"/>
      <c r="CN4" s="140"/>
      <c r="CO4" s="140"/>
      <c r="CP4" s="140"/>
      <c r="CQ4" s="140"/>
      <c r="CR4" s="141"/>
      <c r="CS4" s="128"/>
      <c r="CT4" s="129"/>
      <c r="CU4" s="129"/>
      <c r="CV4" s="129"/>
      <c r="CW4" s="130"/>
      <c r="CX4" s="1"/>
      <c r="CY4" s="145" t="s">
        <v>9</v>
      </c>
      <c r="CZ4" s="146"/>
      <c r="DA4" s="147" t="s">
        <v>10</v>
      </c>
      <c r="DB4" s="148"/>
      <c r="DC4" s="148"/>
      <c r="DD4" s="148"/>
      <c r="DE4" s="148"/>
      <c r="DF4" s="148"/>
      <c r="DG4" s="146"/>
      <c r="DH4" s="1"/>
      <c r="DI4" s="1"/>
      <c r="DJ4" s="145" t="s">
        <v>11</v>
      </c>
      <c r="DK4" s="146"/>
      <c r="DL4" s="147" t="s">
        <v>12</v>
      </c>
      <c r="DM4" s="148"/>
      <c r="DN4" s="148"/>
      <c r="DO4" s="148"/>
      <c r="DP4" s="148"/>
      <c r="DQ4" s="148"/>
      <c r="DR4" s="146"/>
      <c r="DS4" s="1"/>
      <c r="DT4" s="1"/>
      <c r="DU4" s="1"/>
      <c r="DV4" s="1"/>
      <c r="DW4" s="1"/>
    </row>
    <row r="5" spans="1:129" ht="15.75">
      <c r="A5" s="173" t="s">
        <v>13</v>
      </c>
      <c r="B5" s="124"/>
      <c r="C5" s="174"/>
      <c r="D5" s="189" t="str">
        <f>'BASE DE DATOS'!C7</f>
        <v>COLEGIO GENERAL SANTANDER</v>
      </c>
      <c r="E5" s="124"/>
      <c r="F5" s="174"/>
      <c r="G5" s="184"/>
      <c r="H5" s="144"/>
      <c r="I5" s="144"/>
      <c r="J5" s="144"/>
      <c r="K5" s="144"/>
      <c r="L5" s="144"/>
      <c r="M5" s="144"/>
      <c r="N5" s="144"/>
      <c r="O5" s="144"/>
      <c r="P5" s="131"/>
      <c r="Q5" s="132"/>
      <c r="R5" s="132"/>
      <c r="S5" s="132"/>
      <c r="T5" s="131"/>
      <c r="U5" s="132"/>
      <c r="V5" s="132"/>
      <c r="W5" s="133"/>
      <c r="X5" s="131"/>
      <c r="Y5" s="132"/>
      <c r="Z5" s="132"/>
      <c r="AA5" s="132"/>
      <c r="AB5" s="131"/>
      <c r="AC5" s="132"/>
      <c r="AD5" s="132"/>
      <c r="AE5" s="132"/>
      <c r="AF5" s="132"/>
      <c r="AG5" s="132"/>
      <c r="AH5" s="132"/>
      <c r="AI5" s="132"/>
      <c r="AJ5" s="132"/>
      <c r="AK5" s="133"/>
      <c r="AL5" s="131"/>
      <c r="AM5" s="132"/>
      <c r="AN5" s="132"/>
      <c r="AO5" s="132"/>
      <c r="AP5" s="132"/>
      <c r="AQ5" s="132"/>
      <c r="AR5" s="132"/>
      <c r="AS5" s="132"/>
      <c r="AT5" s="133"/>
      <c r="AU5" s="131"/>
      <c r="AV5" s="132"/>
      <c r="AW5" s="132"/>
      <c r="AX5" s="132"/>
      <c r="AY5" s="132"/>
      <c r="AZ5" s="132"/>
      <c r="BA5" s="132"/>
      <c r="BB5" s="132"/>
      <c r="BC5" s="132"/>
      <c r="BD5" s="132"/>
      <c r="BE5" s="132"/>
      <c r="BF5" s="132"/>
      <c r="BG5" s="132"/>
      <c r="BH5" s="132"/>
      <c r="BI5" s="132"/>
      <c r="BJ5" s="132"/>
      <c r="BK5" s="132"/>
      <c r="BL5" s="132"/>
      <c r="BM5" s="132"/>
      <c r="BN5" s="132"/>
      <c r="BO5" s="132"/>
      <c r="BP5" s="132"/>
      <c r="BQ5" s="132"/>
      <c r="BR5" s="132"/>
      <c r="BS5" s="132"/>
      <c r="BT5" s="132"/>
      <c r="BU5" s="132"/>
      <c r="BV5" s="131"/>
      <c r="BW5" s="132"/>
      <c r="BX5" s="132"/>
      <c r="BY5" s="132"/>
      <c r="BZ5" s="132"/>
      <c r="CA5" s="132"/>
      <c r="CB5" s="132"/>
      <c r="CC5" s="132"/>
      <c r="CD5" s="132"/>
      <c r="CE5" s="132"/>
      <c r="CF5" s="132"/>
      <c r="CG5" s="132"/>
      <c r="CH5" s="132"/>
      <c r="CI5" s="132"/>
      <c r="CJ5" s="132"/>
      <c r="CK5" s="132"/>
      <c r="CL5" s="132"/>
      <c r="CM5" s="132"/>
      <c r="CN5" s="132"/>
      <c r="CO5" s="132"/>
      <c r="CP5" s="132"/>
      <c r="CQ5" s="132"/>
      <c r="CR5" s="133"/>
      <c r="CS5" s="131"/>
      <c r="CT5" s="132"/>
      <c r="CU5" s="132"/>
      <c r="CV5" s="132"/>
      <c r="CW5" s="133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73" t="s">
        <v>14</v>
      </c>
      <c r="B6" s="124"/>
      <c r="C6" s="174"/>
      <c r="D6" s="3">
        <f>'BASE DE DATOS'!C4</f>
        <v>3414936</v>
      </c>
      <c r="E6" s="4" t="s">
        <v>15</v>
      </c>
      <c r="F6" s="5">
        <f>'BASE DE DATOS'!G7</f>
        <v>10</v>
      </c>
      <c r="G6" s="195" t="str">
        <f>CY1 &amp; " " &amp; CY2</f>
        <v>TOTAL APRENDICES MATRICULADOS: 25</v>
      </c>
      <c r="H6" s="140"/>
      <c r="I6" s="140"/>
      <c r="J6" s="140"/>
      <c r="K6" s="140"/>
      <c r="L6" s="140"/>
      <c r="M6" s="140"/>
      <c r="N6" s="140"/>
      <c r="O6" s="191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52" t="s">
        <v>16</v>
      </c>
      <c r="CY6" s="153"/>
      <c r="CZ6" s="153"/>
      <c r="DA6" s="153"/>
      <c r="DB6" s="153"/>
      <c r="DC6" s="153"/>
      <c r="DD6" s="153"/>
      <c r="DE6" s="153"/>
      <c r="DF6" s="153"/>
      <c r="DG6" s="153"/>
      <c r="DH6" s="153"/>
      <c r="DI6" s="153"/>
      <c r="DJ6" s="153"/>
      <c r="DK6" s="153"/>
      <c r="DL6" s="153"/>
      <c r="DM6" s="153"/>
      <c r="DN6" s="153"/>
      <c r="DO6" s="153"/>
      <c r="DP6" s="153"/>
      <c r="DQ6" s="153"/>
      <c r="DR6" s="153"/>
      <c r="DS6" s="153"/>
      <c r="DT6" s="153"/>
      <c r="DU6" s="153"/>
      <c r="DV6" s="153"/>
      <c r="DW6" s="153"/>
    </row>
    <row r="7" spans="1:129" ht="22.5">
      <c r="A7" s="196" t="s">
        <v>17</v>
      </c>
      <c r="B7" s="124"/>
      <c r="C7" s="174"/>
      <c r="D7" s="8">
        <f>'BASE DE DATOS'!G5</f>
        <v>46084</v>
      </c>
      <c r="E7" s="9" t="s">
        <v>18</v>
      </c>
      <c r="F7" s="10">
        <f>'BASE DE DATOS'!G6</f>
        <v>46086</v>
      </c>
      <c r="G7" s="192"/>
      <c r="H7" s="172"/>
      <c r="I7" s="172"/>
      <c r="J7" s="172"/>
      <c r="K7" s="172"/>
      <c r="L7" s="172"/>
      <c r="M7" s="172"/>
      <c r="N7" s="172"/>
      <c r="O7" s="193"/>
      <c r="P7" s="11">
        <f>D7</f>
        <v>46084</v>
      </c>
      <c r="Q7" s="12">
        <f>F7</f>
        <v>46086</v>
      </c>
      <c r="R7" s="12">
        <f>IF('BASE DE DATOS'!$G$4=1,(Q7+7),IF('BASE DE DATOS'!$G$4=2,(P7+7)))</f>
        <v>46091</v>
      </c>
      <c r="S7" s="12">
        <f>IF('BASE DE DATOS'!$G$4=1,(R7+7),IF('BASE DE DATOS'!$G$4=2,(Q7+7)))</f>
        <v>46093</v>
      </c>
      <c r="T7" s="12">
        <f>IF('BASE DE DATOS'!$G$4=1,(S7+7),IF('BASE DE DATOS'!$G$4=2,(R7+7)))</f>
        <v>46098</v>
      </c>
      <c r="U7" s="12">
        <f>IF('BASE DE DATOS'!$G$4=1,(T7+7),IF('BASE DE DATOS'!$G$4=2,(S7+7)))</f>
        <v>46100</v>
      </c>
      <c r="V7" s="12">
        <f>IF('BASE DE DATOS'!$G$4=1,(U7+7),IF('BASE DE DATOS'!$G$4=2,(T7+7)))</f>
        <v>46105</v>
      </c>
      <c r="W7" s="12">
        <f>IF('BASE DE DATOS'!$G$4=1,(V7+7),IF('BASE DE DATOS'!$G$4=2,(U7+7)))</f>
        <v>46107</v>
      </c>
      <c r="X7" s="12">
        <f>IF('BASE DE DATOS'!$G$4=1,(W7+7),IF('BASE DE DATOS'!$G$4=2,(V7+7)))</f>
        <v>46112</v>
      </c>
      <c r="Y7" s="12">
        <f>IF('BASE DE DATOS'!$G$4=1,(X7+7),IF('BASE DE DATOS'!$G$4=2,(W7+7)))</f>
        <v>46114</v>
      </c>
      <c r="Z7" s="12">
        <f>IF('BASE DE DATOS'!$G$4=1,(Y7+7),IF('BASE DE DATOS'!$G$4=2,(X7+7)))</f>
        <v>46119</v>
      </c>
      <c r="AA7" s="12">
        <f>IF('BASE DE DATOS'!$G$4=1,(Z7+7),IF('BASE DE DATOS'!$G$4=2,(Y7+7)))</f>
        <v>46121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46128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46135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46142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46149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46156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46163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46170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46177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46184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46191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46198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46205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46212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46219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46226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46233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46240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46247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46254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46261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46268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46275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46282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46289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46296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46303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46310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46317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46324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46331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46338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46345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46352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46359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46366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46373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46380</v>
      </c>
      <c r="CX7" s="154" t="s">
        <v>19</v>
      </c>
      <c r="CY7" s="155"/>
      <c r="CZ7" s="154" t="s">
        <v>20</v>
      </c>
      <c r="DA7" s="153"/>
      <c r="DB7" s="154" t="s">
        <v>21</v>
      </c>
      <c r="DC7" s="155"/>
      <c r="DD7" s="154" t="s">
        <v>22</v>
      </c>
      <c r="DE7" s="155"/>
      <c r="DF7" s="154" t="s">
        <v>23</v>
      </c>
      <c r="DG7" s="155"/>
      <c r="DH7" s="154" t="s">
        <v>24</v>
      </c>
      <c r="DI7" s="155"/>
      <c r="DJ7" s="154" t="s">
        <v>25</v>
      </c>
      <c r="DK7" s="155"/>
      <c r="DL7" s="154" t="s">
        <v>26</v>
      </c>
      <c r="DM7" s="155"/>
      <c r="DN7" s="154" t="s">
        <v>27</v>
      </c>
      <c r="DO7" s="155"/>
      <c r="DP7" s="154" t="s">
        <v>28</v>
      </c>
      <c r="DQ7" s="155"/>
      <c r="DR7" s="154" t="s">
        <v>29</v>
      </c>
      <c r="DS7" s="155"/>
      <c r="DT7" s="154" t="s">
        <v>30</v>
      </c>
      <c r="DU7" s="155"/>
      <c r="DV7" s="156" t="s">
        <v>31</v>
      </c>
      <c r="DW7" s="153"/>
    </row>
    <row r="8" spans="1:129" ht="30.75" customHeight="1">
      <c r="A8" s="13" t="s">
        <v>32</v>
      </c>
      <c r="B8" s="14" t="s">
        <v>33</v>
      </c>
      <c r="C8" s="15" t="s">
        <v>34</v>
      </c>
      <c r="D8" s="78" t="s">
        <v>35</v>
      </c>
      <c r="E8" s="78" t="s">
        <v>36</v>
      </c>
      <c r="F8" s="78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46084</v>
      </c>
      <c r="Q8" s="18">
        <f>F7</f>
        <v>46086</v>
      </c>
      <c r="R8" s="18">
        <f t="shared" ref="R8:CW8" si="1">P8+7</f>
        <v>46091</v>
      </c>
      <c r="S8" s="18">
        <f t="shared" si="1"/>
        <v>46093</v>
      </c>
      <c r="T8" s="18">
        <f t="shared" si="1"/>
        <v>46098</v>
      </c>
      <c r="U8" s="18">
        <f t="shared" si="1"/>
        <v>46100</v>
      </c>
      <c r="V8" s="18">
        <f t="shared" si="1"/>
        <v>46105</v>
      </c>
      <c r="W8" s="18">
        <f t="shared" si="1"/>
        <v>46107</v>
      </c>
      <c r="X8" s="18">
        <f t="shared" si="1"/>
        <v>46112</v>
      </c>
      <c r="Y8" s="18">
        <f t="shared" si="1"/>
        <v>46114</v>
      </c>
      <c r="Z8" s="18">
        <f t="shared" si="1"/>
        <v>46119</v>
      </c>
      <c r="AA8" s="18">
        <f t="shared" si="1"/>
        <v>46121</v>
      </c>
      <c r="AB8" s="18">
        <f t="shared" si="1"/>
        <v>46126</v>
      </c>
      <c r="AC8" s="18">
        <f t="shared" si="1"/>
        <v>46128</v>
      </c>
      <c r="AD8" s="18">
        <f t="shared" si="1"/>
        <v>46133</v>
      </c>
      <c r="AE8" s="18">
        <f t="shared" si="1"/>
        <v>46135</v>
      </c>
      <c r="AF8" s="18">
        <f t="shared" si="1"/>
        <v>46140</v>
      </c>
      <c r="AG8" s="18">
        <f t="shared" si="1"/>
        <v>46142</v>
      </c>
      <c r="AH8" s="18">
        <f t="shared" si="1"/>
        <v>46147</v>
      </c>
      <c r="AI8" s="18">
        <f t="shared" si="1"/>
        <v>46149</v>
      </c>
      <c r="AJ8" s="18">
        <f t="shared" si="1"/>
        <v>46154</v>
      </c>
      <c r="AK8" s="18">
        <f t="shared" si="1"/>
        <v>46156</v>
      </c>
      <c r="AL8" s="18">
        <f t="shared" si="1"/>
        <v>46161</v>
      </c>
      <c r="AM8" s="18">
        <f t="shared" si="1"/>
        <v>46163</v>
      </c>
      <c r="AN8" s="18">
        <f t="shared" si="1"/>
        <v>46168</v>
      </c>
      <c r="AO8" s="18">
        <f t="shared" si="1"/>
        <v>46170</v>
      </c>
      <c r="AP8" s="18">
        <f t="shared" si="1"/>
        <v>46175</v>
      </c>
      <c r="AQ8" s="18">
        <f t="shared" si="1"/>
        <v>46177</v>
      </c>
      <c r="AR8" s="18">
        <f t="shared" si="1"/>
        <v>46182</v>
      </c>
      <c r="AS8" s="18">
        <f t="shared" si="1"/>
        <v>46184</v>
      </c>
      <c r="AT8" s="18">
        <f t="shared" si="1"/>
        <v>46189</v>
      </c>
      <c r="AU8" s="18">
        <f t="shared" si="1"/>
        <v>46191</v>
      </c>
      <c r="AV8" s="18">
        <f t="shared" si="1"/>
        <v>46196</v>
      </c>
      <c r="AW8" s="18">
        <f t="shared" si="1"/>
        <v>46198</v>
      </c>
      <c r="AX8" s="18">
        <f t="shared" si="1"/>
        <v>46203</v>
      </c>
      <c r="AY8" s="18">
        <f t="shared" si="1"/>
        <v>46205</v>
      </c>
      <c r="AZ8" s="18">
        <f t="shared" si="1"/>
        <v>46210</v>
      </c>
      <c r="BA8" s="18">
        <f t="shared" si="1"/>
        <v>46212</v>
      </c>
      <c r="BB8" s="18">
        <f t="shared" si="1"/>
        <v>46217</v>
      </c>
      <c r="BC8" s="18">
        <f t="shared" si="1"/>
        <v>46219</v>
      </c>
      <c r="BD8" s="18">
        <f t="shared" si="1"/>
        <v>46224</v>
      </c>
      <c r="BE8" s="18">
        <f t="shared" si="1"/>
        <v>46226</v>
      </c>
      <c r="BF8" s="18">
        <f t="shared" si="1"/>
        <v>46231</v>
      </c>
      <c r="BG8" s="18">
        <f t="shared" si="1"/>
        <v>46233</v>
      </c>
      <c r="BH8" s="18">
        <f t="shared" si="1"/>
        <v>46238</v>
      </c>
      <c r="BI8" s="18">
        <f t="shared" si="1"/>
        <v>46240</v>
      </c>
      <c r="BJ8" s="18">
        <f t="shared" si="1"/>
        <v>46245</v>
      </c>
      <c r="BK8" s="18">
        <f t="shared" si="1"/>
        <v>46247</v>
      </c>
      <c r="BL8" s="18">
        <f t="shared" si="1"/>
        <v>46252</v>
      </c>
      <c r="BM8" s="18">
        <f t="shared" si="1"/>
        <v>46254</v>
      </c>
      <c r="BN8" s="18">
        <f t="shared" si="1"/>
        <v>46259</v>
      </c>
      <c r="BO8" s="18">
        <f t="shared" si="1"/>
        <v>46261</v>
      </c>
      <c r="BP8" s="18">
        <f t="shared" si="1"/>
        <v>46266</v>
      </c>
      <c r="BQ8" s="18">
        <f t="shared" si="1"/>
        <v>46268</v>
      </c>
      <c r="BR8" s="18">
        <f t="shared" si="1"/>
        <v>46273</v>
      </c>
      <c r="BS8" s="18">
        <f t="shared" si="1"/>
        <v>46275</v>
      </c>
      <c r="BT8" s="18">
        <f t="shared" si="1"/>
        <v>46280</v>
      </c>
      <c r="BU8" s="18">
        <f t="shared" si="1"/>
        <v>46282</v>
      </c>
      <c r="BV8" s="18">
        <f t="shared" si="1"/>
        <v>46287</v>
      </c>
      <c r="BW8" s="18">
        <f t="shared" si="1"/>
        <v>46289</v>
      </c>
      <c r="BX8" s="18">
        <f t="shared" si="1"/>
        <v>46294</v>
      </c>
      <c r="BY8" s="18">
        <f t="shared" si="1"/>
        <v>46296</v>
      </c>
      <c r="BZ8" s="18">
        <f t="shared" si="1"/>
        <v>46301</v>
      </c>
      <c r="CA8" s="18">
        <f t="shared" si="1"/>
        <v>46303</v>
      </c>
      <c r="CB8" s="18">
        <f t="shared" si="1"/>
        <v>46308</v>
      </c>
      <c r="CC8" s="18">
        <f t="shared" si="1"/>
        <v>46310</v>
      </c>
      <c r="CD8" s="18">
        <f t="shared" si="1"/>
        <v>46315</v>
      </c>
      <c r="CE8" s="18">
        <f t="shared" si="1"/>
        <v>46317</v>
      </c>
      <c r="CF8" s="18">
        <f t="shared" si="1"/>
        <v>46322</v>
      </c>
      <c r="CG8" s="18">
        <f t="shared" si="1"/>
        <v>46324</v>
      </c>
      <c r="CH8" s="18">
        <f t="shared" si="1"/>
        <v>46329</v>
      </c>
      <c r="CI8" s="18">
        <f t="shared" si="1"/>
        <v>46331</v>
      </c>
      <c r="CJ8" s="18">
        <f t="shared" si="1"/>
        <v>46336</v>
      </c>
      <c r="CK8" s="18">
        <f t="shared" si="1"/>
        <v>46338</v>
      </c>
      <c r="CL8" s="18">
        <f t="shared" si="1"/>
        <v>46343</v>
      </c>
      <c r="CM8" s="18">
        <f t="shared" si="1"/>
        <v>46345</v>
      </c>
      <c r="CN8" s="18">
        <f t="shared" si="1"/>
        <v>46350</v>
      </c>
      <c r="CO8" s="18">
        <f t="shared" si="1"/>
        <v>46352</v>
      </c>
      <c r="CP8" s="18">
        <f t="shared" si="1"/>
        <v>46357</v>
      </c>
      <c r="CQ8" s="18">
        <f t="shared" si="1"/>
        <v>46359</v>
      </c>
      <c r="CR8" s="18">
        <f t="shared" si="1"/>
        <v>46364</v>
      </c>
      <c r="CS8" s="18">
        <f t="shared" si="1"/>
        <v>46366</v>
      </c>
      <c r="CT8" s="18">
        <f t="shared" si="1"/>
        <v>46371</v>
      </c>
      <c r="CU8" s="18">
        <f t="shared" si="1"/>
        <v>46373</v>
      </c>
      <c r="CV8" s="18">
        <f t="shared" si="1"/>
        <v>46378</v>
      </c>
      <c r="CW8" s="18">
        <f t="shared" si="1"/>
        <v>46380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 t="str">
        <f>'BASE DE DATOS'!D10</f>
        <v>1.176 463 543</v>
      </c>
      <c r="D9" s="28" t="str">
        <f>'BASE DE DATOS'!B10</f>
        <v>Acosta Argote Mahitel Isabel</v>
      </c>
      <c r="E9" s="29" t="s">
        <v>46</v>
      </c>
      <c r="F9" s="30" t="str">
        <f t="shared" ref="F9:F32" si="2">IF(I9=0,"",IF(I9&gt;=5,"FALTAS INTERMITENTES",IF(I9&gt;=3,"REVISAR FALTAS",IF(AND(I9&lt;3,I9&gt;0),"CON FALTAS"))))</f>
        <v/>
      </c>
      <c r="G9" s="31">
        <f t="shared" ref="G9:G32" si="3">COUNTIF(P9:CR9,"A")</f>
        <v>6</v>
      </c>
      <c r="H9" s="32">
        <f t="shared" ref="H9:H32" si="4">COUNTIF(P9:CR9,"CE")</f>
        <v>3</v>
      </c>
      <c r="I9" s="32">
        <f t="shared" ref="I9:I32" si="5">COUNTIF(P9:CR9,"SE")</f>
        <v>0</v>
      </c>
      <c r="J9" s="32">
        <f t="shared" ref="J9:J32" si="6">COUNTIF(P9:CR9,"INC")</f>
        <v>0</v>
      </c>
      <c r="K9" s="32">
        <f t="shared" ref="K9:K32" si="7">COUNTIF(P9:CR9,"LIC")</f>
        <v>0</v>
      </c>
      <c r="L9" s="32">
        <f t="shared" ref="L9:L32" si="8">COUNTIF(P9:CR9,"CLM")</f>
        <v>0</v>
      </c>
      <c r="M9" s="32">
        <f t="shared" ref="M9:M32" si="9">COUNTIF(P9:IA9,"SFF")</f>
        <v>0</v>
      </c>
      <c r="N9" s="33">
        <f t="shared" ref="N9:N32" si="10">COUNTIF(P9:CR9,"RET")</f>
        <v>0</v>
      </c>
      <c r="O9" s="34">
        <f t="shared" ref="O9:O32" si="11">IFERROR(SUM(H9:K9)/SUM(G9:K9)," ")</f>
        <v>0.33333333333333331</v>
      </c>
      <c r="P9" s="35" t="s">
        <v>38</v>
      </c>
      <c r="Q9" s="35" t="s">
        <v>9</v>
      </c>
      <c r="R9" s="35" t="s">
        <v>38</v>
      </c>
      <c r="S9" s="35" t="s">
        <v>9</v>
      </c>
      <c r="T9" s="35" t="s">
        <v>9</v>
      </c>
      <c r="U9" s="35" t="s">
        <v>38</v>
      </c>
      <c r="V9" s="35" t="s">
        <v>38</v>
      </c>
      <c r="W9" s="35" t="s">
        <v>38</v>
      </c>
      <c r="X9" s="35"/>
      <c r="Y9" s="35"/>
      <c r="Z9" s="35" t="s">
        <v>38</v>
      </c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9"/>
      <c r="CZ9" s="36"/>
      <c r="DA9" s="79"/>
      <c r="DB9" s="36"/>
      <c r="DC9" s="79"/>
      <c r="DD9" s="36"/>
      <c r="DE9" s="79"/>
      <c r="DF9" s="36"/>
      <c r="DG9" s="79"/>
      <c r="DH9" s="36"/>
      <c r="DI9" s="79"/>
      <c r="DJ9" s="36"/>
      <c r="DK9" s="79"/>
      <c r="DL9" s="36"/>
      <c r="DM9" s="79"/>
      <c r="DN9" s="36"/>
      <c r="DO9" s="79"/>
      <c r="DP9" s="36"/>
      <c r="DQ9" s="79"/>
      <c r="DR9" s="36"/>
      <c r="DS9" s="79"/>
      <c r="DT9" s="36"/>
      <c r="DU9" s="79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33" si="13">A9+1</f>
        <v>2</v>
      </c>
      <c r="B10" s="26" t="str">
        <f>'BASE DE DATOS'!C11</f>
        <v>PPT</v>
      </c>
      <c r="C10" s="27">
        <f>'BASE DE DATOS'!D11</f>
        <v>1311227</v>
      </c>
      <c r="D10" s="28" t="str">
        <f>'BASE DE DATOS'!B11</f>
        <v>Álvarez Vargas Michel Valentina</v>
      </c>
      <c r="E10" s="29" t="s">
        <v>46</v>
      </c>
      <c r="F10" s="30" t="str">
        <f t="shared" si="2"/>
        <v/>
      </c>
      <c r="G10" s="41">
        <f t="shared" si="3"/>
        <v>9</v>
      </c>
      <c r="H10" s="42">
        <f t="shared" si="4"/>
        <v>0</v>
      </c>
      <c r="I10" s="42">
        <f t="shared" si="5"/>
        <v>0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43">
        <f t="shared" si="11"/>
        <v>0</v>
      </c>
      <c r="P10" s="35" t="s">
        <v>38</v>
      </c>
      <c r="Q10" s="35" t="s">
        <v>38</v>
      </c>
      <c r="R10" s="35" t="s">
        <v>38</v>
      </c>
      <c r="S10" s="35" t="s">
        <v>38</v>
      </c>
      <c r="T10" s="35" t="s">
        <v>38</v>
      </c>
      <c r="U10" s="35" t="s">
        <v>38</v>
      </c>
      <c r="V10" s="35" t="s">
        <v>38</v>
      </c>
      <c r="W10" s="35" t="s">
        <v>38</v>
      </c>
      <c r="X10" s="35"/>
      <c r="Y10" s="35"/>
      <c r="Z10" s="35" t="s">
        <v>38</v>
      </c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9"/>
      <c r="CZ10" s="36"/>
      <c r="DA10" s="79"/>
      <c r="DB10" s="36"/>
      <c r="DC10" s="79"/>
      <c r="DD10" s="36"/>
      <c r="DE10" s="79"/>
      <c r="DF10" s="36"/>
      <c r="DG10" s="79"/>
      <c r="DH10" s="36"/>
      <c r="DI10" s="79"/>
      <c r="DJ10" s="36"/>
      <c r="DK10" s="79"/>
      <c r="DL10" s="36"/>
      <c r="DM10" s="79"/>
      <c r="DN10" s="36"/>
      <c r="DO10" s="79"/>
      <c r="DP10" s="36"/>
      <c r="DQ10" s="79"/>
      <c r="DR10" s="36"/>
      <c r="DS10" s="79"/>
      <c r="DT10" s="36"/>
      <c r="DU10" s="79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1030588216</v>
      </c>
      <c r="D11" s="28" t="str">
        <f>'BASE DE DATOS'!B12</f>
        <v>Avilez Cruz Brigiht Geraldine</v>
      </c>
      <c r="E11" s="29" t="s">
        <v>46</v>
      </c>
      <c r="F11" s="30" t="str">
        <f t="shared" si="2"/>
        <v/>
      </c>
      <c r="G11" s="41">
        <f t="shared" si="3"/>
        <v>9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43">
        <f t="shared" si="11"/>
        <v>0</v>
      </c>
      <c r="P11" s="35" t="s">
        <v>38</v>
      </c>
      <c r="Q11" s="35" t="s">
        <v>38</v>
      </c>
      <c r="R11" s="35" t="s">
        <v>38</v>
      </c>
      <c r="S11" s="35" t="s">
        <v>38</v>
      </c>
      <c r="T11" s="35" t="s">
        <v>38</v>
      </c>
      <c r="U11" s="35" t="s">
        <v>38</v>
      </c>
      <c r="V11" s="35" t="s">
        <v>38</v>
      </c>
      <c r="W11" s="35" t="s">
        <v>38</v>
      </c>
      <c r="X11" s="35"/>
      <c r="Y11" s="35"/>
      <c r="Z11" s="35" t="s">
        <v>38</v>
      </c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9"/>
      <c r="CZ11" s="36"/>
      <c r="DA11" s="79"/>
      <c r="DB11" s="36"/>
      <c r="DC11" s="79"/>
      <c r="DD11" s="36"/>
      <c r="DE11" s="79"/>
      <c r="DF11" s="36"/>
      <c r="DG11" s="79"/>
      <c r="DH11" s="36"/>
      <c r="DI11" s="79"/>
      <c r="DJ11" s="36"/>
      <c r="DK11" s="79"/>
      <c r="DL11" s="36"/>
      <c r="DM11" s="79"/>
      <c r="DN11" s="36"/>
      <c r="DO11" s="79"/>
      <c r="DP11" s="36"/>
      <c r="DQ11" s="79"/>
      <c r="DR11" s="36"/>
      <c r="DS11" s="79"/>
      <c r="DT11" s="36"/>
      <c r="DU11" s="79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1020849003</v>
      </c>
      <c r="D12" s="28" t="str">
        <f>'BASE DE DATOS'!B13</f>
        <v>Castillo Rodríguez Ramsés Alexandry</v>
      </c>
      <c r="E12" s="29" t="s">
        <v>46</v>
      </c>
      <c r="F12" s="30" t="str">
        <f t="shared" si="2"/>
        <v/>
      </c>
      <c r="G12" s="41">
        <f t="shared" si="3"/>
        <v>9</v>
      </c>
      <c r="H12" s="42">
        <f t="shared" si="4"/>
        <v>0</v>
      </c>
      <c r="I12" s="42">
        <f t="shared" si="5"/>
        <v>0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43">
        <f t="shared" si="11"/>
        <v>0</v>
      </c>
      <c r="P12" s="35" t="s">
        <v>38</v>
      </c>
      <c r="Q12" s="35" t="s">
        <v>38</v>
      </c>
      <c r="R12" s="35" t="s">
        <v>38</v>
      </c>
      <c r="S12" s="35" t="s">
        <v>38</v>
      </c>
      <c r="T12" s="35" t="s">
        <v>38</v>
      </c>
      <c r="U12" s="35" t="s">
        <v>38</v>
      </c>
      <c r="V12" s="35" t="s">
        <v>38</v>
      </c>
      <c r="W12" s="35" t="s">
        <v>38</v>
      </c>
      <c r="X12" s="35"/>
      <c r="Y12" s="35"/>
      <c r="Z12" s="35" t="s">
        <v>38</v>
      </c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9"/>
      <c r="CZ12" s="36"/>
      <c r="DA12" s="79"/>
      <c r="DB12" s="36"/>
      <c r="DC12" s="79"/>
      <c r="DD12" s="36"/>
      <c r="DE12" s="79"/>
      <c r="DF12" s="36"/>
      <c r="DG12" s="79"/>
      <c r="DH12" s="36"/>
      <c r="DI12" s="79"/>
      <c r="DJ12" s="36"/>
      <c r="DK12" s="79"/>
      <c r="DL12" s="36"/>
      <c r="DM12" s="79"/>
      <c r="DN12" s="36"/>
      <c r="DO12" s="79"/>
      <c r="DP12" s="36"/>
      <c r="DQ12" s="79"/>
      <c r="DR12" s="36"/>
      <c r="DS12" s="79"/>
      <c r="DT12" s="36"/>
      <c r="DU12" s="79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1062399726</v>
      </c>
      <c r="D13" s="28" t="str">
        <f>'BASE DE DATOS'!B14</f>
        <v>Fernández Guette Nathalia Sofia</v>
      </c>
      <c r="E13" s="29" t="s">
        <v>46</v>
      </c>
      <c r="F13" s="30" t="str">
        <f t="shared" si="2"/>
        <v>CON FALTAS</v>
      </c>
      <c r="G13" s="41">
        <f t="shared" si="3"/>
        <v>8</v>
      </c>
      <c r="H13" s="42">
        <f t="shared" si="4"/>
        <v>0</v>
      </c>
      <c r="I13" s="42">
        <f t="shared" si="5"/>
        <v>1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43">
        <f t="shared" si="11"/>
        <v>0.1111111111111111</v>
      </c>
      <c r="P13" s="35" t="s">
        <v>38</v>
      </c>
      <c r="Q13" s="35" t="s">
        <v>38</v>
      </c>
      <c r="R13" s="35" t="s">
        <v>38</v>
      </c>
      <c r="S13" s="35" t="s">
        <v>38</v>
      </c>
      <c r="T13" s="35" t="s">
        <v>11</v>
      </c>
      <c r="U13" s="35" t="s">
        <v>38</v>
      </c>
      <c r="V13" s="35" t="s">
        <v>38</v>
      </c>
      <c r="W13" s="35" t="s">
        <v>38</v>
      </c>
      <c r="X13" s="35"/>
      <c r="Y13" s="35"/>
      <c r="Z13" s="35" t="s">
        <v>38</v>
      </c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9"/>
      <c r="CZ13" s="36"/>
      <c r="DA13" s="79"/>
      <c r="DB13" s="36"/>
      <c r="DC13" s="79"/>
      <c r="DD13" s="36"/>
      <c r="DE13" s="79"/>
      <c r="DF13" s="36"/>
      <c r="DG13" s="79"/>
      <c r="DH13" s="36"/>
      <c r="DI13" s="79"/>
      <c r="DJ13" s="36"/>
      <c r="DK13" s="79"/>
      <c r="DL13" s="36"/>
      <c r="DM13" s="79"/>
      <c r="DN13" s="36"/>
      <c r="DO13" s="79"/>
      <c r="DP13" s="36"/>
      <c r="DQ13" s="79"/>
      <c r="DR13" s="36"/>
      <c r="DS13" s="79"/>
      <c r="DT13" s="36"/>
      <c r="DU13" s="79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PPT</v>
      </c>
      <c r="C14" s="27">
        <f>'BASE DE DATOS'!D15</f>
        <v>6082792</v>
      </c>
      <c r="D14" s="28" t="str">
        <f>'BASE DE DATOS'!B15</f>
        <v>Ferrer Burgos Brayan De Jesús</v>
      </c>
      <c r="E14" s="29" t="s">
        <v>46</v>
      </c>
      <c r="F14" s="30" t="str">
        <f t="shared" si="2"/>
        <v/>
      </c>
      <c r="G14" s="41">
        <f t="shared" si="3"/>
        <v>9</v>
      </c>
      <c r="H14" s="42">
        <f t="shared" si="4"/>
        <v>0</v>
      </c>
      <c r="I14" s="42">
        <f t="shared" si="5"/>
        <v>0</v>
      </c>
      <c r="J14" s="42">
        <f t="shared" si="6"/>
        <v>0</v>
      </c>
      <c r="K14" s="42">
        <f t="shared" si="7"/>
        <v>0</v>
      </c>
      <c r="L14" s="42">
        <f t="shared" si="8"/>
        <v>0</v>
      </c>
      <c r="M14" s="32">
        <f t="shared" si="9"/>
        <v>0</v>
      </c>
      <c r="N14" s="33">
        <f t="shared" si="10"/>
        <v>0</v>
      </c>
      <c r="O14" s="43">
        <f t="shared" si="11"/>
        <v>0</v>
      </c>
      <c r="P14" s="35" t="s">
        <v>38</v>
      </c>
      <c r="Q14" s="35" t="s">
        <v>38</v>
      </c>
      <c r="R14" s="35" t="s">
        <v>38</v>
      </c>
      <c r="S14" s="35" t="s">
        <v>38</v>
      </c>
      <c r="T14" s="35" t="s">
        <v>38</v>
      </c>
      <c r="U14" s="35" t="s">
        <v>38</v>
      </c>
      <c r="V14" s="35" t="s">
        <v>38</v>
      </c>
      <c r="W14" s="35" t="s">
        <v>38</v>
      </c>
      <c r="X14" s="35"/>
      <c r="Y14" s="35"/>
      <c r="Z14" s="35" t="s">
        <v>38</v>
      </c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9"/>
      <c r="CZ14" s="36"/>
      <c r="DA14" s="79"/>
      <c r="DB14" s="36"/>
      <c r="DC14" s="79"/>
      <c r="DD14" s="36"/>
      <c r="DE14" s="79"/>
      <c r="DF14" s="36"/>
      <c r="DG14" s="79"/>
      <c r="DH14" s="36"/>
      <c r="DI14" s="79"/>
      <c r="DJ14" s="36"/>
      <c r="DK14" s="79"/>
      <c r="DL14" s="36"/>
      <c r="DM14" s="79"/>
      <c r="DN14" s="36"/>
      <c r="DO14" s="79"/>
      <c r="DP14" s="36"/>
      <c r="DQ14" s="79"/>
      <c r="DR14" s="36"/>
      <c r="DS14" s="79"/>
      <c r="DT14" s="36"/>
      <c r="DU14" s="79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1028945029</v>
      </c>
      <c r="D15" s="28" t="str">
        <f>'BASE DE DATOS'!B16</f>
        <v>Galeano López Erika Lindsay</v>
      </c>
      <c r="E15" s="29" t="s">
        <v>46</v>
      </c>
      <c r="F15" s="30" t="str">
        <f t="shared" si="2"/>
        <v/>
      </c>
      <c r="G15" s="41">
        <f t="shared" si="3"/>
        <v>9</v>
      </c>
      <c r="H15" s="42">
        <f t="shared" si="4"/>
        <v>0</v>
      </c>
      <c r="I15" s="42">
        <f t="shared" si="5"/>
        <v>0</v>
      </c>
      <c r="J15" s="42">
        <f t="shared" si="6"/>
        <v>0</v>
      </c>
      <c r="K15" s="42">
        <f t="shared" si="7"/>
        <v>0</v>
      </c>
      <c r="L15" s="42">
        <f t="shared" si="8"/>
        <v>0</v>
      </c>
      <c r="M15" s="32">
        <f t="shared" si="9"/>
        <v>0</v>
      </c>
      <c r="N15" s="33">
        <f t="shared" si="10"/>
        <v>0</v>
      </c>
      <c r="O15" s="43">
        <f t="shared" si="11"/>
        <v>0</v>
      </c>
      <c r="P15" s="35" t="s">
        <v>38</v>
      </c>
      <c r="Q15" s="35" t="s">
        <v>38</v>
      </c>
      <c r="R15" s="35" t="s">
        <v>38</v>
      </c>
      <c r="S15" s="35" t="s">
        <v>38</v>
      </c>
      <c r="T15" s="35" t="s">
        <v>38</v>
      </c>
      <c r="U15" s="35" t="s">
        <v>38</v>
      </c>
      <c r="V15" s="35" t="s">
        <v>38</v>
      </c>
      <c r="W15" s="35" t="s">
        <v>38</v>
      </c>
      <c r="X15" s="35"/>
      <c r="Y15" s="35"/>
      <c r="Z15" s="35" t="s">
        <v>38</v>
      </c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9"/>
      <c r="CZ15" s="36"/>
      <c r="DA15" s="79"/>
      <c r="DB15" s="36"/>
      <c r="DC15" s="79"/>
      <c r="DD15" s="36"/>
      <c r="DE15" s="79"/>
      <c r="DF15" s="36"/>
      <c r="DG15" s="79"/>
      <c r="DH15" s="36"/>
      <c r="DI15" s="79"/>
      <c r="DJ15" s="36"/>
      <c r="DK15" s="79"/>
      <c r="DL15" s="36"/>
      <c r="DM15" s="79"/>
      <c r="DN15" s="36"/>
      <c r="DO15" s="79"/>
      <c r="DP15" s="36"/>
      <c r="DQ15" s="79"/>
      <c r="DR15" s="36"/>
      <c r="DS15" s="79"/>
      <c r="DT15" s="36"/>
      <c r="DU15" s="79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1233699111</v>
      </c>
      <c r="D16" s="28" t="str">
        <f>'BASE DE DATOS'!B17</f>
        <v>Gil Muchacho Brittany Angelina</v>
      </c>
      <c r="E16" s="29" t="s">
        <v>46</v>
      </c>
      <c r="F16" s="30" t="str">
        <f t="shared" si="2"/>
        <v/>
      </c>
      <c r="G16" s="41">
        <f t="shared" si="3"/>
        <v>9</v>
      </c>
      <c r="H16" s="42">
        <f t="shared" si="4"/>
        <v>0</v>
      </c>
      <c r="I16" s="42">
        <f t="shared" si="5"/>
        <v>0</v>
      </c>
      <c r="J16" s="42">
        <f t="shared" si="6"/>
        <v>0</v>
      </c>
      <c r="K16" s="42">
        <f t="shared" si="7"/>
        <v>0</v>
      </c>
      <c r="L16" s="42">
        <f t="shared" si="8"/>
        <v>0</v>
      </c>
      <c r="M16" s="32">
        <f t="shared" si="9"/>
        <v>0</v>
      </c>
      <c r="N16" s="33">
        <f t="shared" si="10"/>
        <v>0</v>
      </c>
      <c r="O16" s="43">
        <f t="shared" si="11"/>
        <v>0</v>
      </c>
      <c r="P16" s="35" t="s">
        <v>38</v>
      </c>
      <c r="Q16" s="35" t="s">
        <v>38</v>
      </c>
      <c r="R16" s="35" t="s">
        <v>38</v>
      </c>
      <c r="S16" s="35" t="s">
        <v>38</v>
      </c>
      <c r="T16" s="35" t="s">
        <v>38</v>
      </c>
      <c r="U16" s="35" t="s">
        <v>38</v>
      </c>
      <c r="V16" s="35" t="s">
        <v>38</v>
      </c>
      <c r="W16" s="35" t="s">
        <v>38</v>
      </c>
      <c r="X16" s="35"/>
      <c r="Y16" s="35"/>
      <c r="Z16" s="35" t="s">
        <v>38</v>
      </c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9"/>
      <c r="CZ16" s="36"/>
      <c r="DA16" s="79"/>
      <c r="DB16" s="36"/>
      <c r="DC16" s="79"/>
      <c r="DD16" s="36"/>
      <c r="DE16" s="79"/>
      <c r="DF16" s="36"/>
      <c r="DG16" s="79"/>
      <c r="DH16" s="36"/>
      <c r="DI16" s="79"/>
      <c r="DJ16" s="36"/>
      <c r="DK16" s="79"/>
      <c r="DL16" s="36"/>
      <c r="DM16" s="79"/>
      <c r="DN16" s="36"/>
      <c r="DO16" s="79"/>
      <c r="DP16" s="36"/>
      <c r="DQ16" s="79"/>
      <c r="DR16" s="36"/>
      <c r="DS16" s="79"/>
      <c r="DT16" s="36"/>
      <c r="DU16" s="79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1141122043</v>
      </c>
      <c r="D17" s="28" t="str">
        <f>'BASE DE DATOS'!B18</f>
        <v>Giraldo Martínez Juan Felipe</v>
      </c>
      <c r="E17" s="29" t="s">
        <v>46</v>
      </c>
      <c r="F17" s="30" t="str">
        <f t="shared" si="2"/>
        <v/>
      </c>
      <c r="G17" s="41">
        <f t="shared" si="3"/>
        <v>9</v>
      </c>
      <c r="H17" s="42">
        <f t="shared" si="4"/>
        <v>0</v>
      </c>
      <c r="I17" s="42">
        <f t="shared" si="5"/>
        <v>0</v>
      </c>
      <c r="J17" s="42">
        <f t="shared" si="6"/>
        <v>0</v>
      </c>
      <c r="K17" s="42">
        <f t="shared" si="7"/>
        <v>0</v>
      </c>
      <c r="L17" s="42">
        <f t="shared" si="8"/>
        <v>0</v>
      </c>
      <c r="M17" s="32">
        <f t="shared" si="9"/>
        <v>0</v>
      </c>
      <c r="N17" s="33">
        <f t="shared" si="10"/>
        <v>0</v>
      </c>
      <c r="O17" s="43">
        <f t="shared" si="11"/>
        <v>0</v>
      </c>
      <c r="P17" s="35" t="s">
        <v>38</v>
      </c>
      <c r="Q17" s="35" t="s">
        <v>38</v>
      </c>
      <c r="R17" s="35" t="s">
        <v>38</v>
      </c>
      <c r="S17" s="35" t="s">
        <v>38</v>
      </c>
      <c r="T17" s="35" t="s">
        <v>38</v>
      </c>
      <c r="U17" s="35" t="s">
        <v>38</v>
      </c>
      <c r="V17" s="35" t="s">
        <v>38</v>
      </c>
      <c r="W17" s="35" t="s">
        <v>38</v>
      </c>
      <c r="X17" s="35"/>
      <c r="Y17" s="35"/>
      <c r="Z17" s="35" t="s">
        <v>38</v>
      </c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9"/>
      <c r="CZ17" s="36"/>
      <c r="DA17" s="79"/>
      <c r="DB17" s="36"/>
      <c r="DC17" s="79"/>
      <c r="DD17" s="36"/>
      <c r="DE17" s="79"/>
      <c r="DF17" s="36"/>
      <c r="DG17" s="79"/>
      <c r="DH17" s="36"/>
      <c r="DI17" s="79"/>
      <c r="DJ17" s="36"/>
      <c r="DK17" s="79"/>
      <c r="DL17" s="36"/>
      <c r="DM17" s="79"/>
      <c r="DN17" s="36"/>
      <c r="DO17" s="79"/>
      <c r="DP17" s="36"/>
      <c r="DQ17" s="79"/>
      <c r="DR17" s="36"/>
      <c r="DS17" s="79"/>
      <c r="DT17" s="36"/>
      <c r="DU17" s="79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1141125037</v>
      </c>
      <c r="D18" s="28" t="str">
        <f>'BASE DE DATOS'!B19</f>
        <v>Gómez Córdoba Sharon Mariana</v>
      </c>
      <c r="E18" s="29" t="s">
        <v>46</v>
      </c>
      <c r="F18" s="30" t="str">
        <f t="shared" si="2"/>
        <v/>
      </c>
      <c r="G18" s="41">
        <f t="shared" si="3"/>
        <v>9</v>
      </c>
      <c r="H18" s="42">
        <f t="shared" si="4"/>
        <v>0</v>
      </c>
      <c r="I18" s="42">
        <f t="shared" si="5"/>
        <v>0</v>
      </c>
      <c r="J18" s="42">
        <f t="shared" si="6"/>
        <v>0</v>
      </c>
      <c r="K18" s="42">
        <f t="shared" si="7"/>
        <v>0</v>
      </c>
      <c r="L18" s="42">
        <f t="shared" si="8"/>
        <v>0</v>
      </c>
      <c r="M18" s="32">
        <f t="shared" si="9"/>
        <v>0</v>
      </c>
      <c r="N18" s="33">
        <f t="shared" si="10"/>
        <v>0</v>
      </c>
      <c r="O18" s="43">
        <f t="shared" si="11"/>
        <v>0</v>
      </c>
      <c r="P18" s="35" t="s">
        <v>38</v>
      </c>
      <c r="Q18" s="35" t="s">
        <v>38</v>
      </c>
      <c r="R18" s="35" t="s">
        <v>38</v>
      </c>
      <c r="S18" s="35" t="s">
        <v>38</v>
      </c>
      <c r="T18" s="35" t="s">
        <v>38</v>
      </c>
      <c r="U18" s="35" t="s">
        <v>38</v>
      </c>
      <c r="V18" s="35" t="s">
        <v>38</v>
      </c>
      <c r="W18" s="35" t="s">
        <v>38</v>
      </c>
      <c r="X18" s="35"/>
      <c r="Y18" s="35"/>
      <c r="Z18" s="35" t="s">
        <v>38</v>
      </c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9"/>
      <c r="CZ18" s="36"/>
      <c r="DA18" s="79"/>
      <c r="DB18" s="36"/>
      <c r="DC18" s="79"/>
      <c r="DD18" s="36"/>
      <c r="DE18" s="79"/>
      <c r="DF18" s="36"/>
      <c r="DG18" s="79"/>
      <c r="DH18" s="36"/>
      <c r="DI18" s="79"/>
      <c r="DJ18" s="36"/>
      <c r="DK18" s="79"/>
      <c r="DL18" s="36"/>
      <c r="DM18" s="79"/>
      <c r="DN18" s="36"/>
      <c r="DO18" s="79"/>
      <c r="DP18" s="36"/>
      <c r="DQ18" s="79"/>
      <c r="DR18" s="36"/>
      <c r="DS18" s="79"/>
      <c r="DT18" s="36"/>
      <c r="DU18" s="79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1016099996</v>
      </c>
      <c r="D19" s="28" t="str">
        <f>'BASE DE DATOS'!B20</f>
        <v>Isaza Reino Valeria Andrea</v>
      </c>
      <c r="E19" s="29" t="s">
        <v>46</v>
      </c>
      <c r="F19" s="30" t="str">
        <f t="shared" si="2"/>
        <v>CON FALTAS</v>
      </c>
      <c r="G19" s="41">
        <f t="shared" si="3"/>
        <v>8</v>
      </c>
      <c r="H19" s="42">
        <f t="shared" si="4"/>
        <v>0</v>
      </c>
      <c r="I19" s="42">
        <f t="shared" si="5"/>
        <v>1</v>
      </c>
      <c r="J19" s="42">
        <f t="shared" si="6"/>
        <v>0</v>
      </c>
      <c r="K19" s="42">
        <f t="shared" si="7"/>
        <v>0</v>
      </c>
      <c r="L19" s="42">
        <f t="shared" si="8"/>
        <v>0</v>
      </c>
      <c r="M19" s="32">
        <f t="shared" si="9"/>
        <v>0</v>
      </c>
      <c r="N19" s="33">
        <f t="shared" si="10"/>
        <v>0</v>
      </c>
      <c r="O19" s="43">
        <f t="shared" si="11"/>
        <v>0.1111111111111111</v>
      </c>
      <c r="P19" s="35" t="s">
        <v>38</v>
      </c>
      <c r="Q19" s="35" t="s">
        <v>38</v>
      </c>
      <c r="R19" s="35" t="s">
        <v>38</v>
      </c>
      <c r="S19" s="35" t="s">
        <v>38</v>
      </c>
      <c r="T19" s="35" t="s">
        <v>38</v>
      </c>
      <c r="U19" s="35" t="s">
        <v>38</v>
      </c>
      <c r="V19" s="35" t="s">
        <v>38</v>
      </c>
      <c r="W19" s="35" t="s">
        <v>38</v>
      </c>
      <c r="X19" s="35"/>
      <c r="Y19" s="35"/>
      <c r="Z19" s="35" t="s">
        <v>11</v>
      </c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9"/>
      <c r="CZ19" s="36"/>
      <c r="DA19" s="79"/>
      <c r="DB19" s="36"/>
      <c r="DC19" s="79"/>
      <c r="DD19" s="36"/>
      <c r="DE19" s="79"/>
      <c r="DF19" s="36"/>
      <c r="DG19" s="79"/>
      <c r="DH19" s="36"/>
      <c r="DI19" s="79"/>
      <c r="DJ19" s="36"/>
      <c r="DK19" s="79"/>
      <c r="DL19" s="36"/>
      <c r="DM19" s="79"/>
      <c r="DN19" s="36"/>
      <c r="DO19" s="79"/>
      <c r="DP19" s="36"/>
      <c r="DQ19" s="79"/>
      <c r="DR19" s="36"/>
      <c r="DS19" s="79"/>
      <c r="DT19" s="36"/>
      <c r="DU19" s="79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1024604513</v>
      </c>
      <c r="D20" s="28" t="str">
        <f>'BASE DE DATOS'!B21</f>
        <v>Linero Valles María Del Carmen</v>
      </c>
      <c r="E20" s="29" t="s">
        <v>46</v>
      </c>
      <c r="F20" s="30" t="str">
        <f t="shared" si="2"/>
        <v/>
      </c>
      <c r="G20" s="41">
        <f t="shared" si="3"/>
        <v>9</v>
      </c>
      <c r="H20" s="42">
        <f t="shared" si="4"/>
        <v>0</v>
      </c>
      <c r="I20" s="42">
        <f t="shared" si="5"/>
        <v>0</v>
      </c>
      <c r="J20" s="42">
        <f t="shared" si="6"/>
        <v>0</v>
      </c>
      <c r="K20" s="42">
        <f t="shared" si="7"/>
        <v>0</v>
      </c>
      <c r="L20" s="42">
        <f t="shared" si="8"/>
        <v>0</v>
      </c>
      <c r="M20" s="32">
        <f t="shared" si="9"/>
        <v>0</v>
      </c>
      <c r="N20" s="33">
        <f t="shared" si="10"/>
        <v>0</v>
      </c>
      <c r="O20" s="43">
        <f t="shared" si="11"/>
        <v>0</v>
      </c>
      <c r="P20" s="35" t="s">
        <v>38</v>
      </c>
      <c r="Q20" s="35" t="s">
        <v>38</v>
      </c>
      <c r="R20" s="35" t="s">
        <v>38</v>
      </c>
      <c r="S20" s="35" t="s">
        <v>38</v>
      </c>
      <c r="T20" s="35" t="s">
        <v>38</v>
      </c>
      <c r="U20" s="35" t="s">
        <v>38</v>
      </c>
      <c r="V20" s="35" t="s">
        <v>38</v>
      </c>
      <c r="W20" s="35" t="s">
        <v>38</v>
      </c>
      <c r="X20" s="35"/>
      <c r="Y20" s="35"/>
      <c r="Z20" s="35" t="s">
        <v>38</v>
      </c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9"/>
      <c r="CZ20" s="36"/>
      <c r="DA20" s="79"/>
      <c r="DB20" s="36"/>
      <c r="DC20" s="79"/>
      <c r="DD20" s="36"/>
      <c r="DE20" s="79"/>
      <c r="DF20" s="36"/>
      <c r="DG20" s="79"/>
      <c r="DH20" s="36"/>
      <c r="DI20" s="79"/>
      <c r="DJ20" s="36"/>
      <c r="DK20" s="79"/>
      <c r="DL20" s="36"/>
      <c r="DM20" s="79"/>
      <c r="DN20" s="36"/>
      <c r="DO20" s="79"/>
      <c r="DP20" s="36"/>
      <c r="DQ20" s="79"/>
      <c r="DR20" s="36"/>
      <c r="DS20" s="79"/>
      <c r="DT20" s="36"/>
      <c r="DU20" s="79"/>
      <c r="DV20" s="37">
        <f t="shared" ref="DV20:DW20" si="24">CX20+CZ20+DB20+DD20+DF20+DH20+DJ20+DL20+DN20+DP20+DR20+DT20</f>
        <v>0</v>
      </c>
      <c r="DW20" s="38">
        <f t="shared" si="24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1013696365</v>
      </c>
      <c r="D21" s="28" t="str">
        <f>'BASE DE DATOS'!B22</f>
        <v>López Gutiérrez Melani Williani</v>
      </c>
      <c r="E21" s="29" t="s">
        <v>46</v>
      </c>
      <c r="F21" s="30" t="str">
        <f t="shared" si="2"/>
        <v/>
      </c>
      <c r="G21" s="41">
        <f t="shared" si="3"/>
        <v>9</v>
      </c>
      <c r="H21" s="42">
        <f t="shared" si="4"/>
        <v>0</v>
      </c>
      <c r="I21" s="42">
        <f t="shared" si="5"/>
        <v>0</v>
      </c>
      <c r="J21" s="42">
        <f t="shared" si="6"/>
        <v>0</v>
      </c>
      <c r="K21" s="42">
        <f t="shared" si="7"/>
        <v>0</v>
      </c>
      <c r="L21" s="42">
        <f t="shared" si="8"/>
        <v>0</v>
      </c>
      <c r="M21" s="32">
        <f t="shared" si="9"/>
        <v>0</v>
      </c>
      <c r="N21" s="33">
        <f t="shared" si="10"/>
        <v>0</v>
      </c>
      <c r="O21" s="43">
        <f t="shared" si="11"/>
        <v>0</v>
      </c>
      <c r="P21" s="35" t="s">
        <v>38</v>
      </c>
      <c r="Q21" s="35" t="s">
        <v>38</v>
      </c>
      <c r="R21" s="35" t="s">
        <v>38</v>
      </c>
      <c r="S21" s="35" t="s">
        <v>38</v>
      </c>
      <c r="T21" s="35" t="s">
        <v>38</v>
      </c>
      <c r="U21" s="35" t="s">
        <v>38</v>
      </c>
      <c r="V21" s="35" t="s">
        <v>38</v>
      </c>
      <c r="W21" s="35" t="s">
        <v>38</v>
      </c>
      <c r="X21" s="35"/>
      <c r="Y21" s="35"/>
      <c r="Z21" s="35" t="s">
        <v>38</v>
      </c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9"/>
      <c r="CZ21" s="36"/>
      <c r="DA21" s="79"/>
      <c r="DB21" s="36"/>
      <c r="DC21" s="79"/>
      <c r="DD21" s="36"/>
      <c r="DE21" s="79"/>
      <c r="DF21" s="36"/>
      <c r="DG21" s="79"/>
      <c r="DH21" s="36"/>
      <c r="DI21" s="79"/>
      <c r="DJ21" s="36"/>
      <c r="DK21" s="79"/>
      <c r="DL21" s="36"/>
      <c r="DM21" s="79"/>
      <c r="DN21" s="36"/>
      <c r="DO21" s="79"/>
      <c r="DP21" s="36"/>
      <c r="DQ21" s="79"/>
      <c r="DR21" s="36"/>
      <c r="DS21" s="79"/>
      <c r="DT21" s="36"/>
      <c r="DU21" s="79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PPT</v>
      </c>
      <c r="C22" s="27">
        <f>'BASE DE DATOS'!D23</f>
        <v>6478830</v>
      </c>
      <c r="D22" s="28" t="str">
        <f>'BASE DE DATOS'!B23</f>
        <v>Padrón Flores Dayrelis Alejandra</v>
      </c>
      <c r="E22" s="29" t="s">
        <v>46</v>
      </c>
      <c r="F22" s="30" t="str">
        <f t="shared" si="2"/>
        <v>CON FALTAS</v>
      </c>
      <c r="G22" s="41">
        <f t="shared" si="3"/>
        <v>8</v>
      </c>
      <c r="H22" s="42">
        <f t="shared" si="4"/>
        <v>0</v>
      </c>
      <c r="I22" s="42">
        <f t="shared" si="5"/>
        <v>1</v>
      </c>
      <c r="J22" s="42">
        <f t="shared" si="6"/>
        <v>0</v>
      </c>
      <c r="K22" s="42">
        <f t="shared" si="7"/>
        <v>0</v>
      </c>
      <c r="L22" s="42">
        <f t="shared" si="8"/>
        <v>0</v>
      </c>
      <c r="M22" s="32">
        <f t="shared" si="9"/>
        <v>0</v>
      </c>
      <c r="N22" s="33">
        <f t="shared" si="10"/>
        <v>0</v>
      </c>
      <c r="O22" s="43">
        <f t="shared" si="11"/>
        <v>0.1111111111111111</v>
      </c>
      <c r="P22" s="35" t="s">
        <v>38</v>
      </c>
      <c r="Q22" s="35" t="s">
        <v>38</v>
      </c>
      <c r="R22" s="35" t="s">
        <v>38</v>
      </c>
      <c r="S22" s="35" t="s">
        <v>11</v>
      </c>
      <c r="T22" s="35" t="s">
        <v>38</v>
      </c>
      <c r="U22" s="35" t="s">
        <v>38</v>
      </c>
      <c r="V22" s="35" t="s">
        <v>38</v>
      </c>
      <c r="W22" s="35" t="s">
        <v>38</v>
      </c>
      <c r="X22" s="35"/>
      <c r="Y22" s="35"/>
      <c r="Z22" s="35" t="s">
        <v>38</v>
      </c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9"/>
      <c r="CZ22" s="36"/>
      <c r="DA22" s="79"/>
      <c r="DB22" s="36"/>
      <c r="DC22" s="79"/>
      <c r="DD22" s="36"/>
      <c r="DE22" s="79"/>
      <c r="DF22" s="36"/>
      <c r="DG22" s="79"/>
      <c r="DH22" s="36"/>
      <c r="DI22" s="79"/>
      <c r="DJ22" s="36"/>
      <c r="DK22" s="79"/>
      <c r="DL22" s="36"/>
      <c r="DM22" s="79"/>
      <c r="DN22" s="36"/>
      <c r="DO22" s="79"/>
      <c r="DP22" s="36"/>
      <c r="DQ22" s="79"/>
      <c r="DR22" s="36"/>
      <c r="DS22" s="79"/>
      <c r="DT22" s="36"/>
      <c r="DU22" s="79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1014224769</v>
      </c>
      <c r="D23" s="28" t="str">
        <f>'BASE DE DATOS'!B24</f>
        <v>Palomo Barreto Danna Valentina</v>
      </c>
      <c r="E23" s="29" t="s">
        <v>46</v>
      </c>
      <c r="F23" s="30" t="str">
        <f t="shared" si="2"/>
        <v>CON FALTAS</v>
      </c>
      <c r="G23" s="41">
        <f t="shared" si="3"/>
        <v>8</v>
      </c>
      <c r="H23" s="42">
        <f t="shared" si="4"/>
        <v>0</v>
      </c>
      <c r="I23" s="42">
        <f t="shared" si="5"/>
        <v>1</v>
      </c>
      <c r="J23" s="42">
        <f t="shared" si="6"/>
        <v>0</v>
      </c>
      <c r="K23" s="42">
        <f t="shared" si="7"/>
        <v>0</v>
      </c>
      <c r="L23" s="42">
        <f t="shared" si="8"/>
        <v>0</v>
      </c>
      <c r="M23" s="32">
        <f t="shared" si="9"/>
        <v>0</v>
      </c>
      <c r="N23" s="33">
        <f t="shared" si="10"/>
        <v>0</v>
      </c>
      <c r="O23" s="43">
        <f t="shared" si="11"/>
        <v>0.1111111111111111</v>
      </c>
      <c r="P23" s="35" t="s">
        <v>38</v>
      </c>
      <c r="Q23" s="35" t="s">
        <v>38</v>
      </c>
      <c r="R23" s="35" t="s">
        <v>38</v>
      </c>
      <c r="S23" s="35" t="s">
        <v>11</v>
      </c>
      <c r="T23" s="35" t="s">
        <v>38</v>
      </c>
      <c r="U23" s="35" t="s">
        <v>38</v>
      </c>
      <c r="V23" s="35" t="s">
        <v>38</v>
      </c>
      <c r="W23" s="35" t="s">
        <v>38</v>
      </c>
      <c r="X23" s="35"/>
      <c r="Y23" s="35"/>
      <c r="Z23" s="35" t="s">
        <v>38</v>
      </c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9"/>
      <c r="CZ23" s="36"/>
      <c r="DA23" s="79"/>
      <c r="DB23" s="36"/>
      <c r="DC23" s="79"/>
      <c r="DD23" s="36"/>
      <c r="DE23" s="79"/>
      <c r="DF23" s="36"/>
      <c r="DG23" s="79"/>
      <c r="DH23" s="36"/>
      <c r="DI23" s="79"/>
      <c r="DJ23" s="36"/>
      <c r="DK23" s="79"/>
      <c r="DL23" s="36"/>
      <c r="DM23" s="79"/>
      <c r="DN23" s="36"/>
      <c r="DO23" s="79"/>
      <c r="DP23" s="36"/>
      <c r="DQ23" s="79"/>
      <c r="DR23" s="36"/>
      <c r="DS23" s="79"/>
      <c r="DT23" s="36"/>
      <c r="DU23" s="79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40">
        <f t="shared" si="13"/>
        <v>16</v>
      </c>
      <c r="B24" s="26" t="str">
        <f>'BASE DE DATOS'!C25</f>
        <v>TI</v>
      </c>
      <c r="C24" s="27">
        <f>'BASE DE DATOS'!D25</f>
        <v>1021679514</v>
      </c>
      <c r="D24" s="28" t="str">
        <f>'BASE DE DATOS'!B25</f>
        <v>Pinzón Castillo Paula Alejandra</v>
      </c>
      <c r="E24" s="29" t="s">
        <v>46</v>
      </c>
      <c r="F24" s="30" t="str">
        <f t="shared" si="2"/>
        <v/>
      </c>
      <c r="G24" s="41">
        <f t="shared" si="3"/>
        <v>9</v>
      </c>
      <c r="H24" s="42">
        <f t="shared" si="4"/>
        <v>0</v>
      </c>
      <c r="I24" s="42">
        <f t="shared" si="5"/>
        <v>0</v>
      </c>
      <c r="J24" s="42">
        <f t="shared" si="6"/>
        <v>0</v>
      </c>
      <c r="K24" s="42">
        <f t="shared" si="7"/>
        <v>0</v>
      </c>
      <c r="L24" s="42">
        <f t="shared" si="8"/>
        <v>0</v>
      </c>
      <c r="M24" s="32">
        <f t="shared" si="9"/>
        <v>0</v>
      </c>
      <c r="N24" s="33">
        <f t="shared" si="10"/>
        <v>0</v>
      </c>
      <c r="O24" s="43">
        <f t="shared" si="11"/>
        <v>0</v>
      </c>
      <c r="P24" s="35" t="s">
        <v>38</v>
      </c>
      <c r="Q24" s="35" t="s">
        <v>38</v>
      </c>
      <c r="R24" s="35" t="s">
        <v>38</v>
      </c>
      <c r="S24" s="35" t="s">
        <v>38</v>
      </c>
      <c r="T24" s="35" t="s">
        <v>38</v>
      </c>
      <c r="U24" s="35" t="s">
        <v>38</v>
      </c>
      <c r="V24" s="35" t="s">
        <v>38</v>
      </c>
      <c r="W24" s="35" t="s">
        <v>38</v>
      </c>
      <c r="X24" s="35"/>
      <c r="Y24" s="35"/>
      <c r="Z24" s="35" t="s">
        <v>38</v>
      </c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9"/>
      <c r="CZ24" s="36"/>
      <c r="DA24" s="79"/>
      <c r="DB24" s="36"/>
      <c r="DC24" s="79"/>
      <c r="DD24" s="36"/>
      <c r="DE24" s="79"/>
      <c r="DF24" s="36"/>
      <c r="DG24" s="79"/>
      <c r="DH24" s="36"/>
      <c r="DI24" s="79"/>
      <c r="DJ24" s="36"/>
      <c r="DK24" s="79"/>
      <c r="DL24" s="36"/>
      <c r="DM24" s="79"/>
      <c r="DN24" s="36"/>
      <c r="DO24" s="79"/>
      <c r="DP24" s="36"/>
      <c r="DQ24" s="79"/>
      <c r="DR24" s="36"/>
      <c r="DS24" s="79"/>
      <c r="DT24" s="36"/>
      <c r="DU24" s="79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PPT</v>
      </c>
      <c r="C25" s="27">
        <f>'BASE DE DATOS'!D26</f>
        <v>8069402</v>
      </c>
      <c r="D25" s="28" t="str">
        <f>'BASE DE DATOS'!B26</f>
        <v>Rivero Pabón Noryelis Dayana</v>
      </c>
      <c r="E25" s="29" t="s">
        <v>46</v>
      </c>
      <c r="F25" s="30" t="str">
        <f t="shared" si="2"/>
        <v/>
      </c>
      <c r="G25" s="41">
        <f t="shared" si="3"/>
        <v>9</v>
      </c>
      <c r="H25" s="42">
        <f t="shared" si="4"/>
        <v>0</v>
      </c>
      <c r="I25" s="42">
        <f t="shared" si="5"/>
        <v>0</v>
      </c>
      <c r="J25" s="42">
        <f t="shared" si="6"/>
        <v>0</v>
      </c>
      <c r="K25" s="42">
        <f t="shared" si="7"/>
        <v>0</v>
      </c>
      <c r="L25" s="42">
        <f t="shared" si="8"/>
        <v>0</v>
      </c>
      <c r="M25" s="32">
        <f t="shared" si="9"/>
        <v>0</v>
      </c>
      <c r="N25" s="33">
        <f t="shared" si="10"/>
        <v>0</v>
      </c>
      <c r="O25" s="43">
        <f t="shared" si="11"/>
        <v>0</v>
      </c>
      <c r="P25" s="35" t="s">
        <v>38</v>
      </c>
      <c r="Q25" s="35" t="s">
        <v>38</v>
      </c>
      <c r="R25" s="35" t="s">
        <v>38</v>
      </c>
      <c r="S25" s="35" t="s">
        <v>38</v>
      </c>
      <c r="T25" s="35" t="s">
        <v>38</v>
      </c>
      <c r="U25" s="35" t="s">
        <v>38</v>
      </c>
      <c r="V25" s="35" t="s">
        <v>38</v>
      </c>
      <c r="W25" s="35" t="s">
        <v>38</v>
      </c>
      <c r="X25" s="35"/>
      <c r="Y25" s="35"/>
      <c r="Z25" s="35" t="s">
        <v>38</v>
      </c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9"/>
      <c r="CZ25" s="36"/>
      <c r="DA25" s="79"/>
      <c r="DB25" s="36"/>
      <c r="DC25" s="79"/>
      <c r="DD25" s="36"/>
      <c r="DE25" s="79"/>
      <c r="DF25" s="36"/>
      <c r="DG25" s="79"/>
      <c r="DH25" s="36"/>
      <c r="DI25" s="79"/>
      <c r="DJ25" s="36"/>
      <c r="DK25" s="79"/>
      <c r="DL25" s="36"/>
      <c r="DM25" s="79"/>
      <c r="DN25" s="36"/>
      <c r="DO25" s="79"/>
      <c r="DP25" s="36"/>
      <c r="DQ25" s="79"/>
      <c r="DR25" s="36"/>
      <c r="DS25" s="79"/>
      <c r="DT25" s="36"/>
      <c r="DU25" s="79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1073383126</v>
      </c>
      <c r="D26" s="28" t="str">
        <f>'BASE DE DATOS'!B27</f>
        <v>Rodríguez González Laura Valentina</v>
      </c>
      <c r="E26" s="29" t="s">
        <v>46</v>
      </c>
      <c r="F26" s="30" t="str">
        <f t="shared" si="2"/>
        <v/>
      </c>
      <c r="G26" s="41">
        <f t="shared" si="3"/>
        <v>9</v>
      </c>
      <c r="H26" s="42">
        <f t="shared" si="4"/>
        <v>0</v>
      </c>
      <c r="I26" s="42">
        <f t="shared" si="5"/>
        <v>0</v>
      </c>
      <c r="J26" s="42">
        <f t="shared" si="6"/>
        <v>0</v>
      </c>
      <c r="K26" s="42">
        <f t="shared" si="7"/>
        <v>0</v>
      </c>
      <c r="L26" s="42">
        <f t="shared" si="8"/>
        <v>0</v>
      </c>
      <c r="M26" s="32">
        <f t="shared" si="9"/>
        <v>0</v>
      </c>
      <c r="N26" s="33">
        <f t="shared" si="10"/>
        <v>0</v>
      </c>
      <c r="O26" s="43">
        <f t="shared" si="11"/>
        <v>0</v>
      </c>
      <c r="P26" s="35" t="s">
        <v>38</v>
      </c>
      <c r="Q26" s="35" t="s">
        <v>38</v>
      </c>
      <c r="R26" s="35" t="s">
        <v>38</v>
      </c>
      <c r="S26" s="35" t="s">
        <v>38</v>
      </c>
      <c r="T26" s="35" t="s">
        <v>38</v>
      </c>
      <c r="U26" s="35" t="s">
        <v>38</v>
      </c>
      <c r="V26" s="35" t="s">
        <v>38</v>
      </c>
      <c r="W26" s="35" t="s">
        <v>38</v>
      </c>
      <c r="X26" s="35"/>
      <c r="Y26" s="35"/>
      <c r="Z26" s="35" t="s">
        <v>38</v>
      </c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9"/>
      <c r="CZ26" s="36"/>
      <c r="DA26" s="79"/>
      <c r="DB26" s="36"/>
      <c r="DC26" s="79"/>
      <c r="DD26" s="36"/>
      <c r="DE26" s="79"/>
      <c r="DF26" s="36"/>
      <c r="DG26" s="79"/>
      <c r="DH26" s="36"/>
      <c r="DI26" s="79"/>
      <c r="DJ26" s="36"/>
      <c r="DK26" s="79"/>
      <c r="DL26" s="36"/>
      <c r="DM26" s="79"/>
      <c r="DN26" s="36"/>
      <c r="DO26" s="79"/>
      <c r="DP26" s="36"/>
      <c r="DQ26" s="79"/>
      <c r="DR26" s="36"/>
      <c r="DS26" s="79"/>
      <c r="DT26" s="36"/>
      <c r="DU26" s="79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1014993944</v>
      </c>
      <c r="D27" s="28" t="str">
        <f>'BASE DE DATOS'!B28</f>
        <v>Rodríguez Sáenz Brayan Sebastián</v>
      </c>
      <c r="E27" s="29" t="s">
        <v>46</v>
      </c>
      <c r="F27" s="30" t="str">
        <f t="shared" si="2"/>
        <v/>
      </c>
      <c r="G27" s="41">
        <f t="shared" si="3"/>
        <v>9</v>
      </c>
      <c r="H27" s="42">
        <f t="shared" si="4"/>
        <v>0</v>
      </c>
      <c r="I27" s="42">
        <f t="shared" si="5"/>
        <v>0</v>
      </c>
      <c r="J27" s="42">
        <f t="shared" si="6"/>
        <v>0</v>
      </c>
      <c r="K27" s="42">
        <f t="shared" si="7"/>
        <v>0</v>
      </c>
      <c r="L27" s="42">
        <f t="shared" si="8"/>
        <v>0</v>
      </c>
      <c r="M27" s="32">
        <f t="shared" si="9"/>
        <v>0</v>
      </c>
      <c r="N27" s="33">
        <f t="shared" si="10"/>
        <v>0</v>
      </c>
      <c r="O27" s="43">
        <f t="shared" si="11"/>
        <v>0</v>
      </c>
      <c r="P27" s="35" t="s">
        <v>38</v>
      </c>
      <c r="Q27" s="35" t="s">
        <v>38</v>
      </c>
      <c r="R27" s="35" t="s">
        <v>38</v>
      </c>
      <c r="S27" s="35" t="s">
        <v>38</v>
      </c>
      <c r="T27" s="35" t="s">
        <v>38</v>
      </c>
      <c r="U27" s="35" t="s">
        <v>38</v>
      </c>
      <c r="V27" s="35" t="s">
        <v>38</v>
      </c>
      <c r="W27" s="35" t="s">
        <v>38</v>
      </c>
      <c r="X27" s="35"/>
      <c r="Y27" s="35"/>
      <c r="Z27" s="35" t="s">
        <v>38</v>
      </c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9"/>
      <c r="CZ27" s="36"/>
      <c r="DA27" s="79"/>
      <c r="DB27" s="36"/>
      <c r="DC27" s="79"/>
      <c r="DD27" s="36"/>
      <c r="DE27" s="79"/>
      <c r="DF27" s="36"/>
      <c r="DG27" s="79"/>
      <c r="DH27" s="36"/>
      <c r="DI27" s="79"/>
      <c r="DJ27" s="36"/>
      <c r="DK27" s="79"/>
      <c r="DL27" s="36"/>
      <c r="DM27" s="79"/>
      <c r="DN27" s="36"/>
      <c r="DO27" s="79"/>
      <c r="DP27" s="36"/>
      <c r="DQ27" s="79"/>
      <c r="DR27" s="36"/>
      <c r="DS27" s="79"/>
      <c r="DT27" s="36"/>
      <c r="DU27" s="79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1016119380</v>
      </c>
      <c r="D28" s="28" t="str">
        <f>'BASE DE DATOS'!B29</f>
        <v>Toro Medina Dairy Nikoll</v>
      </c>
      <c r="E28" s="29" t="s">
        <v>46</v>
      </c>
      <c r="F28" s="30" t="str">
        <f t="shared" si="2"/>
        <v/>
      </c>
      <c r="G28" s="41">
        <f t="shared" si="3"/>
        <v>9</v>
      </c>
      <c r="H28" s="42">
        <f t="shared" si="4"/>
        <v>0</v>
      </c>
      <c r="I28" s="42">
        <f t="shared" si="5"/>
        <v>0</v>
      </c>
      <c r="J28" s="42">
        <f t="shared" si="6"/>
        <v>0</v>
      </c>
      <c r="K28" s="42">
        <f t="shared" si="7"/>
        <v>0</v>
      </c>
      <c r="L28" s="42">
        <f t="shared" si="8"/>
        <v>0</v>
      </c>
      <c r="M28" s="32">
        <f t="shared" si="9"/>
        <v>0</v>
      </c>
      <c r="N28" s="33">
        <f t="shared" si="10"/>
        <v>0</v>
      </c>
      <c r="O28" s="43">
        <f t="shared" si="11"/>
        <v>0</v>
      </c>
      <c r="P28" s="35" t="s">
        <v>38</v>
      </c>
      <c r="Q28" s="35" t="s">
        <v>38</v>
      </c>
      <c r="R28" s="35" t="s">
        <v>38</v>
      </c>
      <c r="S28" s="35" t="s">
        <v>38</v>
      </c>
      <c r="T28" s="35" t="s">
        <v>38</v>
      </c>
      <c r="U28" s="35" t="s">
        <v>38</v>
      </c>
      <c r="V28" s="35" t="s">
        <v>38</v>
      </c>
      <c r="W28" s="35" t="s">
        <v>38</v>
      </c>
      <c r="X28" s="35"/>
      <c r="Y28" s="35"/>
      <c r="Z28" s="35" t="s">
        <v>38</v>
      </c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9"/>
      <c r="CZ28" s="36"/>
      <c r="DA28" s="79"/>
      <c r="DB28" s="36"/>
      <c r="DC28" s="79"/>
      <c r="DD28" s="36"/>
      <c r="DE28" s="79"/>
      <c r="DF28" s="36"/>
      <c r="DG28" s="79"/>
      <c r="DH28" s="36"/>
      <c r="DI28" s="79"/>
      <c r="DJ28" s="36"/>
      <c r="DK28" s="79"/>
      <c r="DL28" s="36"/>
      <c r="DM28" s="79"/>
      <c r="DN28" s="36"/>
      <c r="DO28" s="79"/>
      <c r="DP28" s="36"/>
      <c r="DQ28" s="79"/>
      <c r="DR28" s="36"/>
      <c r="DS28" s="79"/>
      <c r="DT28" s="36"/>
      <c r="DU28" s="79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1014228131</v>
      </c>
      <c r="D29" s="28" t="str">
        <f>'BASE DE DATOS'!B30</f>
        <v>Torres Álvarez Lynda Sofia</v>
      </c>
      <c r="E29" s="29" t="s">
        <v>46</v>
      </c>
      <c r="F29" s="30" t="str">
        <f t="shared" si="2"/>
        <v>CON FALTAS</v>
      </c>
      <c r="G29" s="41">
        <f t="shared" si="3"/>
        <v>7</v>
      </c>
      <c r="H29" s="42">
        <f t="shared" si="4"/>
        <v>0</v>
      </c>
      <c r="I29" s="42">
        <f t="shared" si="5"/>
        <v>2</v>
      </c>
      <c r="J29" s="42">
        <f t="shared" si="6"/>
        <v>0</v>
      </c>
      <c r="K29" s="42">
        <f t="shared" si="7"/>
        <v>0</v>
      </c>
      <c r="L29" s="42">
        <f t="shared" si="8"/>
        <v>0</v>
      </c>
      <c r="M29" s="32">
        <f t="shared" si="9"/>
        <v>0</v>
      </c>
      <c r="N29" s="33">
        <f t="shared" si="10"/>
        <v>0</v>
      </c>
      <c r="O29" s="43">
        <f t="shared" si="11"/>
        <v>0.22222222222222221</v>
      </c>
      <c r="P29" s="35" t="s">
        <v>38</v>
      </c>
      <c r="Q29" s="35" t="s">
        <v>11</v>
      </c>
      <c r="R29" s="35" t="s">
        <v>38</v>
      </c>
      <c r="S29" s="35" t="s">
        <v>38</v>
      </c>
      <c r="T29" s="35" t="s">
        <v>38</v>
      </c>
      <c r="U29" s="35" t="s">
        <v>38</v>
      </c>
      <c r="V29" s="35" t="s">
        <v>38</v>
      </c>
      <c r="W29" s="35" t="s">
        <v>11</v>
      </c>
      <c r="X29" s="35"/>
      <c r="Y29" s="35"/>
      <c r="Z29" s="35" t="s">
        <v>38</v>
      </c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9"/>
      <c r="CZ29" s="36"/>
      <c r="DA29" s="79"/>
      <c r="DB29" s="36"/>
      <c r="DC29" s="79"/>
      <c r="DD29" s="36"/>
      <c r="DE29" s="79"/>
      <c r="DF29" s="36"/>
      <c r="DG29" s="79"/>
      <c r="DH29" s="36"/>
      <c r="DI29" s="79"/>
      <c r="DJ29" s="36"/>
      <c r="DK29" s="79"/>
      <c r="DL29" s="36"/>
      <c r="DM29" s="79"/>
      <c r="DN29" s="36"/>
      <c r="DO29" s="79"/>
      <c r="DP29" s="36"/>
      <c r="DQ29" s="79"/>
      <c r="DR29" s="36"/>
      <c r="DS29" s="79"/>
      <c r="DT29" s="36"/>
      <c r="DU29" s="79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1141120946</v>
      </c>
      <c r="D30" s="28" t="str">
        <f>'BASE DE DATOS'!B31</f>
        <v>Zamudio Izquierdo María Isabel</v>
      </c>
      <c r="E30" s="29" t="s">
        <v>46</v>
      </c>
      <c r="F30" s="30" t="str">
        <f t="shared" si="2"/>
        <v>CON FALTAS</v>
      </c>
      <c r="G30" s="41">
        <f t="shared" si="3"/>
        <v>7</v>
      </c>
      <c r="H30" s="42">
        <f t="shared" si="4"/>
        <v>0</v>
      </c>
      <c r="I30" s="42">
        <f t="shared" si="5"/>
        <v>2</v>
      </c>
      <c r="J30" s="42">
        <f t="shared" si="6"/>
        <v>0</v>
      </c>
      <c r="K30" s="42">
        <f t="shared" si="7"/>
        <v>0</v>
      </c>
      <c r="L30" s="42">
        <f t="shared" si="8"/>
        <v>0</v>
      </c>
      <c r="M30" s="32">
        <f t="shared" si="9"/>
        <v>0</v>
      </c>
      <c r="N30" s="33">
        <f t="shared" si="10"/>
        <v>0</v>
      </c>
      <c r="O30" s="43">
        <f t="shared" si="11"/>
        <v>0.22222222222222221</v>
      </c>
      <c r="P30" s="35" t="s">
        <v>38</v>
      </c>
      <c r="Q30" s="35" t="s">
        <v>11</v>
      </c>
      <c r="R30" s="35" t="s">
        <v>38</v>
      </c>
      <c r="S30" s="35" t="s">
        <v>38</v>
      </c>
      <c r="T30" s="35" t="s">
        <v>38</v>
      </c>
      <c r="U30" s="35" t="s">
        <v>38</v>
      </c>
      <c r="V30" s="35" t="s">
        <v>38</v>
      </c>
      <c r="W30" s="35" t="s">
        <v>38</v>
      </c>
      <c r="X30" s="35"/>
      <c r="Y30" s="35"/>
      <c r="Z30" s="35" t="s">
        <v>11</v>
      </c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9"/>
      <c r="CZ30" s="36"/>
      <c r="DA30" s="79"/>
      <c r="DB30" s="36"/>
      <c r="DC30" s="79"/>
      <c r="DD30" s="36"/>
      <c r="DE30" s="79"/>
      <c r="DF30" s="36"/>
      <c r="DG30" s="79"/>
      <c r="DH30" s="36"/>
      <c r="DI30" s="79"/>
      <c r="DJ30" s="36"/>
      <c r="DK30" s="79"/>
      <c r="DL30" s="36"/>
      <c r="DM30" s="79"/>
      <c r="DN30" s="36"/>
      <c r="DO30" s="79"/>
      <c r="DP30" s="36"/>
      <c r="DQ30" s="79"/>
      <c r="DR30" s="36"/>
      <c r="DS30" s="79"/>
      <c r="DT30" s="36"/>
      <c r="DU30" s="79"/>
      <c r="DV30" s="37">
        <f t="shared" ref="DV30:DW30" si="34">CX30+CZ30+DB30+DD30+DF30+DH30+DJ30+DL30+DN30+DP30+DR30+DT30</f>
        <v>0</v>
      </c>
      <c r="DW30" s="38">
        <f t="shared" si="34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110088425</v>
      </c>
      <c r="D31" s="28" t="str">
        <f>'BASE DE DATOS'!B32</f>
        <v>Hernández Zabala Yudy Alejandra</v>
      </c>
      <c r="E31" s="29" t="s">
        <v>46</v>
      </c>
      <c r="F31" s="30" t="str">
        <f t="shared" si="2"/>
        <v>CON FALTAS</v>
      </c>
      <c r="G31" s="41">
        <f t="shared" si="3"/>
        <v>8</v>
      </c>
      <c r="H31" s="42">
        <f t="shared" si="4"/>
        <v>0</v>
      </c>
      <c r="I31" s="42">
        <f t="shared" si="5"/>
        <v>1</v>
      </c>
      <c r="J31" s="42">
        <f t="shared" si="6"/>
        <v>0</v>
      </c>
      <c r="K31" s="42">
        <f t="shared" si="7"/>
        <v>0</v>
      </c>
      <c r="L31" s="42">
        <f t="shared" si="8"/>
        <v>0</v>
      </c>
      <c r="M31" s="32">
        <f t="shared" si="9"/>
        <v>0</v>
      </c>
      <c r="N31" s="33">
        <f t="shared" si="10"/>
        <v>0</v>
      </c>
      <c r="O31" s="43">
        <f t="shared" si="11"/>
        <v>0.1111111111111111</v>
      </c>
      <c r="P31" s="35" t="s">
        <v>38</v>
      </c>
      <c r="Q31" s="35" t="s">
        <v>38</v>
      </c>
      <c r="R31" s="35" t="s">
        <v>38</v>
      </c>
      <c r="S31" s="35" t="s">
        <v>11</v>
      </c>
      <c r="T31" s="35" t="s">
        <v>38</v>
      </c>
      <c r="U31" s="35" t="s">
        <v>38</v>
      </c>
      <c r="V31" s="35" t="s">
        <v>38</v>
      </c>
      <c r="W31" s="35" t="s">
        <v>38</v>
      </c>
      <c r="X31" s="35"/>
      <c r="Y31" s="35"/>
      <c r="Z31" s="35" t="s">
        <v>38</v>
      </c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9"/>
      <c r="CZ31" s="36"/>
      <c r="DA31" s="79"/>
      <c r="DB31" s="36"/>
      <c r="DC31" s="79"/>
      <c r="DD31" s="36"/>
      <c r="DE31" s="79"/>
      <c r="DF31" s="36"/>
      <c r="DG31" s="79"/>
      <c r="DH31" s="36"/>
      <c r="DI31" s="79"/>
      <c r="DJ31" s="36"/>
      <c r="DK31" s="79"/>
      <c r="DL31" s="36"/>
      <c r="DM31" s="79"/>
      <c r="DN31" s="36"/>
      <c r="DO31" s="79"/>
      <c r="DP31" s="36"/>
      <c r="DQ31" s="79"/>
      <c r="DR31" s="36"/>
      <c r="DS31" s="79"/>
      <c r="DT31" s="36"/>
      <c r="DU31" s="79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40">
        <f t="shared" si="13"/>
        <v>24</v>
      </c>
      <c r="B32" s="26" t="str">
        <f>'BASE DE DATOS'!C33</f>
        <v>PPT</v>
      </c>
      <c r="C32" s="27">
        <f>'BASE DE DATOS'!D33</f>
        <v>7878261</v>
      </c>
      <c r="D32" s="28" t="str">
        <f>'BASE DE DATOS'!B33</f>
        <v xml:space="preserve">Rivas Rodriguez Mervi Andrress </v>
      </c>
      <c r="E32" s="29" t="s">
        <v>46</v>
      </c>
      <c r="F32" s="30" t="str">
        <f t="shared" si="2"/>
        <v>CON FALTAS</v>
      </c>
      <c r="G32" s="41">
        <f t="shared" si="3"/>
        <v>8</v>
      </c>
      <c r="H32" s="42">
        <f t="shared" si="4"/>
        <v>0</v>
      </c>
      <c r="I32" s="42">
        <f t="shared" si="5"/>
        <v>1</v>
      </c>
      <c r="J32" s="42">
        <f t="shared" si="6"/>
        <v>0</v>
      </c>
      <c r="K32" s="42">
        <f t="shared" si="7"/>
        <v>0</v>
      </c>
      <c r="L32" s="42">
        <f t="shared" si="8"/>
        <v>0</v>
      </c>
      <c r="M32" s="32">
        <f t="shared" si="9"/>
        <v>0</v>
      </c>
      <c r="N32" s="33">
        <f t="shared" si="10"/>
        <v>0</v>
      </c>
      <c r="O32" s="43">
        <f t="shared" si="11"/>
        <v>0.1111111111111111</v>
      </c>
      <c r="P32" s="35" t="s">
        <v>38</v>
      </c>
      <c r="Q32" s="35" t="s">
        <v>38</v>
      </c>
      <c r="R32" s="35" t="s">
        <v>38</v>
      </c>
      <c r="S32" s="35" t="s">
        <v>11</v>
      </c>
      <c r="T32" s="35" t="s">
        <v>38</v>
      </c>
      <c r="U32" s="35" t="s">
        <v>38</v>
      </c>
      <c r="V32" s="35" t="s">
        <v>38</v>
      </c>
      <c r="W32" s="35" t="s">
        <v>38</v>
      </c>
      <c r="X32" s="35"/>
      <c r="Y32" s="35"/>
      <c r="Z32" s="35" t="s">
        <v>38</v>
      </c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9"/>
      <c r="CZ32" s="36"/>
      <c r="DA32" s="79"/>
      <c r="DB32" s="36"/>
      <c r="DC32" s="79"/>
      <c r="DD32" s="36"/>
      <c r="DE32" s="79"/>
      <c r="DF32" s="36"/>
      <c r="DG32" s="79"/>
      <c r="DH32" s="36"/>
      <c r="DI32" s="79"/>
      <c r="DJ32" s="36"/>
      <c r="DK32" s="79"/>
      <c r="DL32" s="36"/>
      <c r="DM32" s="79"/>
      <c r="DN32" s="36"/>
      <c r="DO32" s="79"/>
      <c r="DP32" s="36"/>
      <c r="DQ32" s="79"/>
      <c r="DR32" s="36"/>
      <c r="DS32" s="79"/>
      <c r="DT32" s="36"/>
      <c r="DU32" s="79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40">
        <f t="shared" si="13"/>
        <v>25</v>
      </c>
      <c r="B33" s="26" t="str">
        <f>'BASE DE DATOS'!C34</f>
        <v>TI</v>
      </c>
      <c r="C33" s="27">
        <f>'BASE DE DATOS'!D34</f>
        <v>1116498696</v>
      </c>
      <c r="D33" s="28" t="str">
        <f>'BASE DE DATOS'!B34</f>
        <v xml:space="preserve">Pico Peñaloza Mayerly Juliana </v>
      </c>
      <c r="E33" s="29" t="s">
        <v>46</v>
      </c>
      <c r="F33" s="30"/>
      <c r="G33" s="41">
        <f t="shared" ref="G33" si="37">COUNTIF(P33:CR33,"A")</f>
        <v>6</v>
      </c>
      <c r="H33" s="42">
        <f t="shared" ref="H33" si="38">COUNTIF(P33:CR33,"CE")</f>
        <v>0</v>
      </c>
      <c r="I33" s="42">
        <f t="shared" ref="I33" si="39">COUNTIF(P33:CR33,"SE")</f>
        <v>3</v>
      </c>
      <c r="J33" s="42">
        <f t="shared" ref="J33" si="40">COUNTIF(P33:CR33,"INC")</f>
        <v>0</v>
      </c>
      <c r="K33" s="42">
        <f t="shared" ref="K33" si="41">COUNTIF(P33:CR33,"LIC")</f>
        <v>0</v>
      </c>
      <c r="L33" s="42">
        <f t="shared" ref="L33" si="42">COUNTIF(P33:CR33,"CLM")</f>
        <v>0</v>
      </c>
      <c r="M33" s="32">
        <f t="shared" ref="M33" si="43">COUNTIF(P33:IA33,"SFF")</f>
        <v>0</v>
      </c>
      <c r="N33" s="33">
        <f t="shared" ref="N33" si="44">COUNTIF(P33:CR33,"RET")</f>
        <v>0</v>
      </c>
      <c r="O33" s="43">
        <f t="shared" ref="O33" si="45">IFERROR(SUM(H33:K33)/SUM(G33:K33)," ")</f>
        <v>0.33333333333333331</v>
      </c>
      <c r="P33" s="35" t="s">
        <v>38</v>
      </c>
      <c r="Q33" s="35" t="s">
        <v>38</v>
      </c>
      <c r="R33" s="35" t="s">
        <v>38</v>
      </c>
      <c r="S33" s="35" t="s">
        <v>11</v>
      </c>
      <c r="T33" s="35" t="s">
        <v>38</v>
      </c>
      <c r="U33" s="35" t="s">
        <v>11</v>
      </c>
      <c r="V33" s="35" t="s">
        <v>11</v>
      </c>
      <c r="W33" s="35" t="s">
        <v>38</v>
      </c>
      <c r="X33" s="35"/>
      <c r="Y33" s="35"/>
      <c r="Z33" s="35" t="s">
        <v>38</v>
      </c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9"/>
      <c r="CZ33" s="36"/>
      <c r="DA33" s="79"/>
      <c r="DB33" s="36"/>
      <c r="DC33" s="79"/>
      <c r="DD33" s="36"/>
      <c r="DE33" s="79"/>
      <c r="DF33" s="36"/>
      <c r="DG33" s="79"/>
      <c r="DH33" s="36"/>
      <c r="DI33" s="79"/>
      <c r="DJ33" s="36"/>
      <c r="DK33" s="79"/>
      <c r="DL33" s="36"/>
      <c r="DM33" s="79"/>
      <c r="DN33" s="36"/>
      <c r="DO33" s="79"/>
      <c r="DP33" s="36"/>
      <c r="DQ33" s="79"/>
      <c r="DR33" s="36"/>
      <c r="DS33" s="79"/>
      <c r="DT33" s="36"/>
      <c r="DU33" s="79"/>
      <c r="DV33" s="37">
        <f t="shared" ref="DV33:DW33" si="46">CX33+CZ33+DB33+DD33+DF33+DH33+DJ33+DL33+DN33+DP33+DR33+DT33</f>
        <v>0</v>
      </c>
      <c r="DW33" s="38">
        <f t="shared" si="46"/>
        <v>0</v>
      </c>
    </row>
    <row r="34" spans="1:127" ht="15.75" customHeight="1">
      <c r="A34" s="80"/>
      <c r="B34" s="81"/>
      <c r="C34" s="82"/>
      <c r="D34" s="82"/>
      <c r="E34" s="82"/>
      <c r="F34" s="81"/>
      <c r="G34" s="197" t="s">
        <v>59</v>
      </c>
      <c r="H34" s="158"/>
      <c r="I34" s="158"/>
      <c r="J34" s="158"/>
      <c r="K34" s="158"/>
      <c r="L34" s="158"/>
      <c r="M34" s="159"/>
      <c r="N34" s="160" t="str">
        <f>G8</f>
        <v>A</v>
      </c>
      <c r="O34" s="161"/>
      <c r="P34" s="44">
        <f t="shared" ref="P34:AU34" si="47">COUNTIF(P9:P33,"A")</f>
        <v>25</v>
      </c>
      <c r="Q34" s="44">
        <f t="shared" si="47"/>
        <v>22</v>
      </c>
      <c r="R34" s="44">
        <f t="shared" si="47"/>
        <v>25</v>
      </c>
      <c r="S34" s="44">
        <f t="shared" si="47"/>
        <v>19</v>
      </c>
      <c r="T34" s="44">
        <f t="shared" si="47"/>
        <v>23</v>
      </c>
      <c r="U34" s="44">
        <f t="shared" si="47"/>
        <v>24</v>
      </c>
      <c r="V34" s="44">
        <f t="shared" si="47"/>
        <v>24</v>
      </c>
      <c r="W34" s="44">
        <f t="shared" si="47"/>
        <v>24</v>
      </c>
      <c r="X34" s="44">
        <f t="shared" si="47"/>
        <v>0</v>
      </c>
      <c r="Y34" s="44">
        <f t="shared" si="47"/>
        <v>0</v>
      </c>
      <c r="Z34" s="44">
        <f t="shared" si="47"/>
        <v>23</v>
      </c>
      <c r="AA34" s="44">
        <f t="shared" si="47"/>
        <v>0</v>
      </c>
      <c r="AB34" s="44">
        <f t="shared" si="47"/>
        <v>0</v>
      </c>
      <c r="AC34" s="44">
        <f t="shared" si="47"/>
        <v>0</v>
      </c>
      <c r="AD34" s="44">
        <f t="shared" si="47"/>
        <v>0</v>
      </c>
      <c r="AE34" s="44">
        <f t="shared" si="47"/>
        <v>0</v>
      </c>
      <c r="AF34" s="44">
        <f t="shared" si="47"/>
        <v>0</v>
      </c>
      <c r="AG34" s="44">
        <f t="shared" si="47"/>
        <v>0</v>
      </c>
      <c r="AH34" s="44">
        <f t="shared" si="47"/>
        <v>0</v>
      </c>
      <c r="AI34" s="44">
        <f t="shared" si="47"/>
        <v>0</v>
      </c>
      <c r="AJ34" s="44">
        <f t="shared" si="47"/>
        <v>0</v>
      </c>
      <c r="AK34" s="44">
        <f t="shared" si="47"/>
        <v>0</v>
      </c>
      <c r="AL34" s="44">
        <f t="shared" si="47"/>
        <v>0</v>
      </c>
      <c r="AM34" s="44">
        <f t="shared" si="47"/>
        <v>0</v>
      </c>
      <c r="AN34" s="44">
        <f t="shared" si="47"/>
        <v>0</v>
      </c>
      <c r="AO34" s="44">
        <f t="shared" si="47"/>
        <v>0</v>
      </c>
      <c r="AP34" s="44">
        <f t="shared" si="47"/>
        <v>0</v>
      </c>
      <c r="AQ34" s="44">
        <f t="shared" si="47"/>
        <v>0</v>
      </c>
      <c r="AR34" s="44">
        <f t="shared" si="47"/>
        <v>0</v>
      </c>
      <c r="AS34" s="44">
        <f t="shared" si="47"/>
        <v>0</v>
      </c>
      <c r="AT34" s="44">
        <f t="shared" si="47"/>
        <v>0</v>
      </c>
      <c r="AU34" s="44">
        <f t="shared" si="47"/>
        <v>0</v>
      </c>
      <c r="AV34" s="44">
        <f t="shared" ref="AV34:CA34" si="48">COUNTIF(AV9:AV33,"A")</f>
        <v>0</v>
      </c>
      <c r="AW34" s="44">
        <f t="shared" si="48"/>
        <v>0</v>
      </c>
      <c r="AX34" s="44">
        <f t="shared" si="48"/>
        <v>0</v>
      </c>
      <c r="AY34" s="44">
        <f t="shared" si="48"/>
        <v>0</v>
      </c>
      <c r="AZ34" s="44">
        <f t="shared" si="48"/>
        <v>0</v>
      </c>
      <c r="BA34" s="44">
        <f t="shared" si="48"/>
        <v>0</v>
      </c>
      <c r="BB34" s="44">
        <f t="shared" si="48"/>
        <v>0</v>
      </c>
      <c r="BC34" s="44">
        <f t="shared" si="48"/>
        <v>0</v>
      </c>
      <c r="BD34" s="44">
        <f t="shared" si="48"/>
        <v>0</v>
      </c>
      <c r="BE34" s="44">
        <f t="shared" si="48"/>
        <v>0</v>
      </c>
      <c r="BF34" s="44">
        <f t="shared" si="48"/>
        <v>0</v>
      </c>
      <c r="BG34" s="44">
        <f t="shared" si="48"/>
        <v>0</v>
      </c>
      <c r="BH34" s="44">
        <f t="shared" si="48"/>
        <v>0</v>
      </c>
      <c r="BI34" s="44">
        <f t="shared" si="48"/>
        <v>0</v>
      </c>
      <c r="BJ34" s="44">
        <f t="shared" si="48"/>
        <v>0</v>
      </c>
      <c r="BK34" s="44">
        <f t="shared" si="48"/>
        <v>0</v>
      </c>
      <c r="BL34" s="44">
        <f t="shared" si="48"/>
        <v>0</v>
      </c>
      <c r="BM34" s="44">
        <f t="shared" si="48"/>
        <v>0</v>
      </c>
      <c r="BN34" s="44">
        <f t="shared" si="48"/>
        <v>0</v>
      </c>
      <c r="BO34" s="44">
        <f t="shared" si="48"/>
        <v>0</v>
      </c>
      <c r="BP34" s="44">
        <f t="shared" si="48"/>
        <v>0</v>
      </c>
      <c r="BQ34" s="44">
        <f t="shared" si="48"/>
        <v>0</v>
      </c>
      <c r="BR34" s="44">
        <f t="shared" si="48"/>
        <v>0</v>
      </c>
      <c r="BS34" s="44">
        <f t="shared" si="48"/>
        <v>0</v>
      </c>
      <c r="BT34" s="44">
        <f t="shared" si="48"/>
        <v>0</v>
      </c>
      <c r="BU34" s="44">
        <f t="shared" si="48"/>
        <v>0</v>
      </c>
      <c r="BV34" s="44">
        <f t="shared" si="48"/>
        <v>0</v>
      </c>
      <c r="BW34" s="44">
        <f t="shared" si="48"/>
        <v>0</v>
      </c>
      <c r="BX34" s="44">
        <f t="shared" si="48"/>
        <v>0</v>
      </c>
      <c r="BY34" s="44">
        <f t="shared" si="48"/>
        <v>0</v>
      </c>
      <c r="BZ34" s="44">
        <f t="shared" si="48"/>
        <v>0</v>
      </c>
      <c r="CA34" s="44">
        <f t="shared" si="48"/>
        <v>0</v>
      </c>
      <c r="CB34" s="44">
        <f t="shared" ref="CB34:CW34" si="49">COUNTIF(CB9:CB33,"A")</f>
        <v>0</v>
      </c>
      <c r="CC34" s="44">
        <f t="shared" si="49"/>
        <v>0</v>
      </c>
      <c r="CD34" s="44">
        <f t="shared" si="49"/>
        <v>0</v>
      </c>
      <c r="CE34" s="44">
        <f t="shared" si="49"/>
        <v>0</v>
      </c>
      <c r="CF34" s="44">
        <f t="shared" si="49"/>
        <v>0</v>
      </c>
      <c r="CG34" s="44">
        <f t="shared" si="49"/>
        <v>0</v>
      </c>
      <c r="CH34" s="44">
        <f t="shared" si="49"/>
        <v>0</v>
      </c>
      <c r="CI34" s="44">
        <f t="shared" si="49"/>
        <v>0</v>
      </c>
      <c r="CJ34" s="44">
        <f t="shared" si="49"/>
        <v>0</v>
      </c>
      <c r="CK34" s="44">
        <f t="shared" si="49"/>
        <v>0</v>
      </c>
      <c r="CL34" s="44">
        <f t="shared" si="49"/>
        <v>0</v>
      </c>
      <c r="CM34" s="44">
        <f t="shared" si="49"/>
        <v>0</v>
      </c>
      <c r="CN34" s="44">
        <f t="shared" si="49"/>
        <v>0</v>
      </c>
      <c r="CO34" s="44">
        <f t="shared" si="49"/>
        <v>0</v>
      </c>
      <c r="CP34" s="44">
        <f t="shared" si="49"/>
        <v>0</v>
      </c>
      <c r="CQ34" s="44">
        <f t="shared" si="49"/>
        <v>0</v>
      </c>
      <c r="CR34" s="44">
        <f t="shared" si="49"/>
        <v>0</v>
      </c>
      <c r="CS34" s="44">
        <f t="shared" si="49"/>
        <v>0</v>
      </c>
      <c r="CT34" s="44">
        <f t="shared" si="49"/>
        <v>0</v>
      </c>
      <c r="CU34" s="44">
        <f t="shared" si="49"/>
        <v>0</v>
      </c>
      <c r="CV34" s="44">
        <f t="shared" si="49"/>
        <v>0</v>
      </c>
      <c r="CW34" s="44">
        <f t="shared" si="49"/>
        <v>0</v>
      </c>
      <c r="CX34" s="36"/>
      <c r="CY34" s="79"/>
      <c r="CZ34" s="36"/>
      <c r="DA34" s="79"/>
      <c r="DB34" s="36"/>
      <c r="DC34" s="79"/>
      <c r="DD34" s="36"/>
      <c r="DE34" s="79"/>
      <c r="DF34" s="36"/>
      <c r="DG34" s="79"/>
      <c r="DH34" s="36"/>
      <c r="DI34" s="79"/>
      <c r="DJ34" s="36"/>
      <c r="DK34" s="79"/>
      <c r="DL34" s="36"/>
      <c r="DM34" s="79"/>
      <c r="DN34" s="36"/>
      <c r="DO34" s="79"/>
      <c r="DP34" s="36"/>
      <c r="DQ34" s="79"/>
      <c r="DR34" s="36"/>
      <c r="DS34" s="79"/>
      <c r="DT34" s="36"/>
      <c r="DU34" s="79"/>
      <c r="DV34" s="37">
        <f t="shared" ref="DV34:DW34" si="50">CX34+CZ34+DB34+DD34+DF34+DH34+DJ34+DL34+DN34+DP34+DR34+DT34</f>
        <v>0</v>
      </c>
      <c r="DW34" s="38">
        <f t="shared" si="50"/>
        <v>0</v>
      </c>
    </row>
    <row r="35" spans="1:127" ht="15.75" customHeight="1">
      <c r="A35" s="80"/>
      <c r="B35" s="81"/>
      <c r="C35" s="82"/>
      <c r="D35" s="82"/>
      <c r="E35" s="82"/>
      <c r="F35" s="81"/>
      <c r="G35" s="167" t="s">
        <v>10</v>
      </c>
      <c r="H35" s="158"/>
      <c r="I35" s="158"/>
      <c r="J35" s="158"/>
      <c r="K35" s="158"/>
      <c r="L35" s="158"/>
      <c r="M35" s="159"/>
      <c r="N35" s="160" t="str">
        <f>H8</f>
        <v>CE</v>
      </c>
      <c r="O35" s="161"/>
      <c r="P35" s="44">
        <f t="shared" ref="P35:AU35" si="51">COUNTIF(P9:P33,"CE")</f>
        <v>0</v>
      </c>
      <c r="Q35" s="44">
        <f t="shared" si="51"/>
        <v>1</v>
      </c>
      <c r="R35" s="44">
        <f t="shared" si="51"/>
        <v>0</v>
      </c>
      <c r="S35" s="44">
        <f t="shared" si="51"/>
        <v>1</v>
      </c>
      <c r="T35" s="44">
        <f t="shared" si="51"/>
        <v>1</v>
      </c>
      <c r="U35" s="44">
        <f t="shared" si="51"/>
        <v>0</v>
      </c>
      <c r="V35" s="44">
        <f t="shared" si="51"/>
        <v>0</v>
      </c>
      <c r="W35" s="44">
        <f t="shared" si="51"/>
        <v>0</v>
      </c>
      <c r="X35" s="44">
        <f t="shared" si="51"/>
        <v>0</v>
      </c>
      <c r="Y35" s="44">
        <f t="shared" si="51"/>
        <v>0</v>
      </c>
      <c r="Z35" s="44">
        <f t="shared" si="51"/>
        <v>0</v>
      </c>
      <c r="AA35" s="44">
        <f t="shared" si="51"/>
        <v>0</v>
      </c>
      <c r="AB35" s="44">
        <f t="shared" si="51"/>
        <v>0</v>
      </c>
      <c r="AC35" s="44">
        <f t="shared" si="51"/>
        <v>0</v>
      </c>
      <c r="AD35" s="44">
        <f t="shared" si="51"/>
        <v>0</v>
      </c>
      <c r="AE35" s="44">
        <f t="shared" si="51"/>
        <v>0</v>
      </c>
      <c r="AF35" s="44">
        <f t="shared" si="51"/>
        <v>0</v>
      </c>
      <c r="AG35" s="44">
        <f t="shared" si="51"/>
        <v>0</v>
      </c>
      <c r="AH35" s="44">
        <f t="shared" si="51"/>
        <v>0</v>
      </c>
      <c r="AI35" s="44">
        <f t="shared" si="51"/>
        <v>0</v>
      </c>
      <c r="AJ35" s="44">
        <f t="shared" si="51"/>
        <v>0</v>
      </c>
      <c r="AK35" s="44">
        <f t="shared" si="51"/>
        <v>0</v>
      </c>
      <c r="AL35" s="44">
        <f t="shared" si="51"/>
        <v>0</v>
      </c>
      <c r="AM35" s="44">
        <f t="shared" si="51"/>
        <v>0</v>
      </c>
      <c r="AN35" s="44">
        <f t="shared" si="51"/>
        <v>0</v>
      </c>
      <c r="AO35" s="44">
        <f t="shared" si="51"/>
        <v>0</v>
      </c>
      <c r="AP35" s="44">
        <f t="shared" si="51"/>
        <v>0</v>
      </c>
      <c r="AQ35" s="44">
        <f t="shared" si="51"/>
        <v>0</v>
      </c>
      <c r="AR35" s="44">
        <f t="shared" si="51"/>
        <v>0</v>
      </c>
      <c r="AS35" s="44">
        <f t="shared" si="51"/>
        <v>0</v>
      </c>
      <c r="AT35" s="44">
        <f t="shared" si="51"/>
        <v>0</v>
      </c>
      <c r="AU35" s="44">
        <f t="shared" si="51"/>
        <v>0</v>
      </c>
      <c r="AV35" s="44">
        <f t="shared" ref="AV35:CA35" si="52">COUNTIF(AV9:AV33,"CE")</f>
        <v>0</v>
      </c>
      <c r="AW35" s="44">
        <f t="shared" si="52"/>
        <v>0</v>
      </c>
      <c r="AX35" s="44">
        <f t="shared" si="52"/>
        <v>0</v>
      </c>
      <c r="AY35" s="44">
        <f t="shared" si="52"/>
        <v>0</v>
      </c>
      <c r="AZ35" s="44">
        <f t="shared" si="52"/>
        <v>0</v>
      </c>
      <c r="BA35" s="44">
        <f t="shared" si="52"/>
        <v>0</v>
      </c>
      <c r="BB35" s="44">
        <f t="shared" si="52"/>
        <v>0</v>
      </c>
      <c r="BC35" s="44">
        <f t="shared" si="52"/>
        <v>0</v>
      </c>
      <c r="BD35" s="44">
        <f t="shared" si="52"/>
        <v>0</v>
      </c>
      <c r="BE35" s="44">
        <f t="shared" si="52"/>
        <v>0</v>
      </c>
      <c r="BF35" s="44">
        <f t="shared" si="52"/>
        <v>0</v>
      </c>
      <c r="BG35" s="44">
        <f t="shared" si="52"/>
        <v>0</v>
      </c>
      <c r="BH35" s="44">
        <f t="shared" si="52"/>
        <v>0</v>
      </c>
      <c r="BI35" s="44">
        <f t="shared" si="52"/>
        <v>0</v>
      </c>
      <c r="BJ35" s="44">
        <f t="shared" si="52"/>
        <v>0</v>
      </c>
      <c r="BK35" s="44">
        <f t="shared" si="52"/>
        <v>0</v>
      </c>
      <c r="BL35" s="44">
        <f t="shared" si="52"/>
        <v>0</v>
      </c>
      <c r="BM35" s="44">
        <f t="shared" si="52"/>
        <v>0</v>
      </c>
      <c r="BN35" s="44">
        <f t="shared" si="52"/>
        <v>0</v>
      </c>
      <c r="BO35" s="44">
        <f t="shared" si="52"/>
        <v>0</v>
      </c>
      <c r="BP35" s="44">
        <f t="shared" si="52"/>
        <v>0</v>
      </c>
      <c r="BQ35" s="44">
        <f t="shared" si="52"/>
        <v>0</v>
      </c>
      <c r="BR35" s="44">
        <f t="shared" si="52"/>
        <v>0</v>
      </c>
      <c r="BS35" s="44">
        <f t="shared" si="52"/>
        <v>0</v>
      </c>
      <c r="BT35" s="44">
        <f t="shared" si="52"/>
        <v>0</v>
      </c>
      <c r="BU35" s="44">
        <f t="shared" si="52"/>
        <v>0</v>
      </c>
      <c r="BV35" s="44">
        <f t="shared" si="52"/>
        <v>0</v>
      </c>
      <c r="BW35" s="44">
        <f t="shared" si="52"/>
        <v>0</v>
      </c>
      <c r="BX35" s="44">
        <f t="shared" si="52"/>
        <v>0</v>
      </c>
      <c r="BY35" s="44">
        <f t="shared" si="52"/>
        <v>0</v>
      </c>
      <c r="BZ35" s="44">
        <f t="shared" si="52"/>
        <v>0</v>
      </c>
      <c r="CA35" s="44">
        <f t="shared" si="52"/>
        <v>0</v>
      </c>
      <c r="CB35" s="44">
        <f t="shared" ref="CB35:CW35" si="53">COUNTIF(CB9:CB33,"CE")</f>
        <v>0</v>
      </c>
      <c r="CC35" s="44">
        <f t="shared" si="53"/>
        <v>0</v>
      </c>
      <c r="CD35" s="44">
        <f t="shared" si="53"/>
        <v>0</v>
      </c>
      <c r="CE35" s="44">
        <f t="shared" si="53"/>
        <v>0</v>
      </c>
      <c r="CF35" s="44">
        <f t="shared" si="53"/>
        <v>0</v>
      </c>
      <c r="CG35" s="44">
        <f t="shared" si="53"/>
        <v>0</v>
      </c>
      <c r="CH35" s="44">
        <f t="shared" si="53"/>
        <v>0</v>
      </c>
      <c r="CI35" s="44">
        <f t="shared" si="53"/>
        <v>0</v>
      </c>
      <c r="CJ35" s="44">
        <f t="shared" si="53"/>
        <v>0</v>
      </c>
      <c r="CK35" s="44">
        <f t="shared" si="53"/>
        <v>0</v>
      </c>
      <c r="CL35" s="44">
        <f t="shared" si="53"/>
        <v>0</v>
      </c>
      <c r="CM35" s="44">
        <f t="shared" si="53"/>
        <v>0</v>
      </c>
      <c r="CN35" s="44">
        <f t="shared" si="53"/>
        <v>0</v>
      </c>
      <c r="CO35" s="44">
        <f t="shared" si="53"/>
        <v>0</v>
      </c>
      <c r="CP35" s="44">
        <f t="shared" si="53"/>
        <v>0</v>
      </c>
      <c r="CQ35" s="44">
        <f t="shared" si="53"/>
        <v>0</v>
      </c>
      <c r="CR35" s="44">
        <f t="shared" si="53"/>
        <v>0</v>
      </c>
      <c r="CS35" s="44">
        <f t="shared" si="53"/>
        <v>0</v>
      </c>
      <c r="CT35" s="44">
        <f t="shared" si="53"/>
        <v>0</v>
      </c>
      <c r="CU35" s="44">
        <f t="shared" si="53"/>
        <v>0</v>
      </c>
      <c r="CV35" s="44">
        <f t="shared" si="53"/>
        <v>0</v>
      </c>
      <c r="CW35" s="44">
        <f t="shared" si="53"/>
        <v>0</v>
      </c>
      <c r="CX35" s="36"/>
      <c r="CY35" s="79"/>
      <c r="CZ35" s="36"/>
      <c r="DA35" s="79"/>
      <c r="DB35" s="36"/>
      <c r="DC35" s="79"/>
      <c r="DD35" s="36"/>
      <c r="DE35" s="79"/>
      <c r="DF35" s="36"/>
      <c r="DG35" s="79"/>
      <c r="DH35" s="36"/>
      <c r="DI35" s="79"/>
      <c r="DJ35" s="36"/>
      <c r="DK35" s="79"/>
      <c r="DL35" s="36"/>
      <c r="DM35" s="79"/>
      <c r="DN35" s="36"/>
      <c r="DO35" s="79"/>
      <c r="DP35" s="36"/>
      <c r="DQ35" s="79"/>
      <c r="DR35" s="36"/>
      <c r="DS35" s="79"/>
      <c r="DT35" s="36"/>
      <c r="DU35" s="79"/>
      <c r="DV35" s="37">
        <f t="shared" ref="DV35:DW35" si="54">CX35+CZ35+DB35+DD35+DF35+DH35+DJ35+DL35+DN35+DP35+DR35+DT35</f>
        <v>0</v>
      </c>
      <c r="DW35" s="38">
        <f t="shared" si="54"/>
        <v>0</v>
      </c>
    </row>
    <row r="36" spans="1:127" ht="15.75" customHeight="1">
      <c r="A36" s="80"/>
      <c r="B36" s="81"/>
      <c r="C36" s="82"/>
      <c r="D36" s="82"/>
      <c r="E36" s="82"/>
      <c r="F36" s="81"/>
      <c r="G36" s="168" t="s">
        <v>12</v>
      </c>
      <c r="H36" s="158"/>
      <c r="I36" s="158"/>
      <c r="J36" s="158"/>
      <c r="K36" s="158"/>
      <c r="L36" s="158"/>
      <c r="M36" s="159"/>
      <c r="N36" s="160" t="str">
        <f>I8</f>
        <v>SE</v>
      </c>
      <c r="O36" s="161"/>
      <c r="P36" s="44">
        <f t="shared" ref="P36:AU36" si="55">COUNTIF(P9:P33,"SE")</f>
        <v>0</v>
      </c>
      <c r="Q36" s="44">
        <f t="shared" si="55"/>
        <v>2</v>
      </c>
      <c r="R36" s="44">
        <f t="shared" si="55"/>
        <v>0</v>
      </c>
      <c r="S36" s="44">
        <f t="shared" si="55"/>
        <v>5</v>
      </c>
      <c r="T36" s="44">
        <f t="shared" si="55"/>
        <v>1</v>
      </c>
      <c r="U36" s="44">
        <f t="shared" si="55"/>
        <v>1</v>
      </c>
      <c r="V36" s="44">
        <f t="shared" si="55"/>
        <v>1</v>
      </c>
      <c r="W36" s="44">
        <f t="shared" si="55"/>
        <v>1</v>
      </c>
      <c r="X36" s="44">
        <f t="shared" si="55"/>
        <v>0</v>
      </c>
      <c r="Y36" s="44">
        <f t="shared" si="55"/>
        <v>0</v>
      </c>
      <c r="Z36" s="44">
        <f t="shared" si="55"/>
        <v>2</v>
      </c>
      <c r="AA36" s="44">
        <f t="shared" si="55"/>
        <v>0</v>
      </c>
      <c r="AB36" s="44">
        <f t="shared" si="55"/>
        <v>0</v>
      </c>
      <c r="AC36" s="44">
        <f t="shared" si="55"/>
        <v>0</v>
      </c>
      <c r="AD36" s="44">
        <f t="shared" si="55"/>
        <v>0</v>
      </c>
      <c r="AE36" s="44">
        <f t="shared" si="55"/>
        <v>0</v>
      </c>
      <c r="AF36" s="44">
        <f t="shared" si="55"/>
        <v>0</v>
      </c>
      <c r="AG36" s="44">
        <f t="shared" si="55"/>
        <v>0</v>
      </c>
      <c r="AH36" s="44">
        <f t="shared" si="55"/>
        <v>0</v>
      </c>
      <c r="AI36" s="44">
        <f t="shared" si="55"/>
        <v>0</v>
      </c>
      <c r="AJ36" s="44">
        <f t="shared" si="55"/>
        <v>0</v>
      </c>
      <c r="AK36" s="44">
        <f t="shared" si="55"/>
        <v>0</v>
      </c>
      <c r="AL36" s="44">
        <f t="shared" si="55"/>
        <v>0</v>
      </c>
      <c r="AM36" s="44">
        <f t="shared" si="55"/>
        <v>0</v>
      </c>
      <c r="AN36" s="44">
        <f t="shared" si="55"/>
        <v>0</v>
      </c>
      <c r="AO36" s="44">
        <f t="shared" si="55"/>
        <v>0</v>
      </c>
      <c r="AP36" s="44">
        <f t="shared" si="55"/>
        <v>0</v>
      </c>
      <c r="AQ36" s="44">
        <f t="shared" si="55"/>
        <v>0</v>
      </c>
      <c r="AR36" s="44">
        <f t="shared" si="55"/>
        <v>0</v>
      </c>
      <c r="AS36" s="44">
        <f t="shared" si="55"/>
        <v>0</v>
      </c>
      <c r="AT36" s="44">
        <f t="shared" si="55"/>
        <v>0</v>
      </c>
      <c r="AU36" s="44">
        <f t="shared" si="55"/>
        <v>0</v>
      </c>
      <c r="AV36" s="44">
        <f t="shared" ref="AV36:CA36" si="56">COUNTIF(AV9:AV33,"SE")</f>
        <v>0</v>
      </c>
      <c r="AW36" s="44">
        <f t="shared" si="56"/>
        <v>0</v>
      </c>
      <c r="AX36" s="44">
        <f t="shared" si="56"/>
        <v>0</v>
      </c>
      <c r="AY36" s="44">
        <f t="shared" si="56"/>
        <v>0</v>
      </c>
      <c r="AZ36" s="44">
        <f t="shared" si="56"/>
        <v>0</v>
      </c>
      <c r="BA36" s="44">
        <f t="shared" si="56"/>
        <v>0</v>
      </c>
      <c r="BB36" s="44">
        <f t="shared" si="56"/>
        <v>0</v>
      </c>
      <c r="BC36" s="44">
        <f t="shared" si="56"/>
        <v>0</v>
      </c>
      <c r="BD36" s="44">
        <f t="shared" si="56"/>
        <v>0</v>
      </c>
      <c r="BE36" s="44">
        <f t="shared" si="56"/>
        <v>0</v>
      </c>
      <c r="BF36" s="44">
        <f t="shared" si="56"/>
        <v>0</v>
      </c>
      <c r="BG36" s="44">
        <f t="shared" si="56"/>
        <v>0</v>
      </c>
      <c r="BH36" s="44">
        <f t="shared" si="56"/>
        <v>0</v>
      </c>
      <c r="BI36" s="44">
        <f t="shared" si="56"/>
        <v>0</v>
      </c>
      <c r="BJ36" s="44">
        <f t="shared" si="56"/>
        <v>0</v>
      </c>
      <c r="BK36" s="44">
        <f t="shared" si="56"/>
        <v>0</v>
      </c>
      <c r="BL36" s="44">
        <f t="shared" si="56"/>
        <v>0</v>
      </c>
      <c r="BM36" s="44">
        <f t="shared" si="56"/>
        <v>0</v>
      </c>
      <c r="BN36" s="44">
        <f t="shared" si="56"/>
        <v>0</v>
      </c>
      <c r="BO36" s="44">
        <f t="shared" si="56"/>
        <v>0</v>
      </c>
      <c r="BP36" s="44">
        <f t="shared" si="56"/>
        <v>0</v>
      </c>
      <c r="BQ36" s="44">
        <f t="shared" si="56"/>
        <v>0</v>
      </c>
      <c r="BR36" s="44">
        <f t="shared" si="56"/>
        <v>0</v>
      </c>
      <c r="BS36" s="44">
        <f t="shared" si="56"/>
        <v>0</v>
      </c>
      <c r="BT36" s="44">
        <f t="shared" si="56"/>
        <v>0</v>
      </c>
      <c r="BU36" s="44">
        <f t="shared" si="56"/>
        <v>0</v>
      </c>
      <c r="BV36" s="44">
        <f t="shared" si="56"/>
        <v>0</v>
      </c>
      <c r="BW36" s="44">
        <f t="shared" si="56"/>
        <v>0</v>
      </c>
      <c r="BX36" s="44">
        <f t="shared" si="56"/>
        <v>0</v>
      </c>
      <c r="BY36" s="44">
        <f t="shared" si="56"/>
        <v>0</v>
      </c>
      <c r="BZ36" s="44">
        <f t="shared" si="56"/>
        <v>0</v>
      </c>
      <c r="CA36" s="44">
        <f t="shared" si="56"/>
        <v>0</v>
      </c>
      <c r="CB36" s="44">
        <f t="shared" ref="CB36:CW36" si="57">COUNTIF(CB9:CB33,"SE")</f>
        <v>0</v>
      </c>
      <c r="CC36" s="44">
        <f t="shared" si="57"/>
        <v>0</v>
      </c>
      <c r="CD36" s="44">
        <f t="shared" si="57"/>
        <v>0</v>
      </c>
      <c r="CE36" s="44">
        <f t="shared" si="57"/>
        <v>0</v>
      </c>
      <c r="CF36" s="44">
        <f t="shared" si="57"/>
        <v>0</v>
      </c>
      <c r="CG36" s="44">
        <f t="shared" si="57"/>
        <v>0</v>
      </c>
      <c r="CH36" s="44">
        <f t="shared" si="57"/>
        <v>0</v>
      </c>
      <c r="CI36" s="44">
        <f t="shared" si="57"/>
        <v>0</v>
      </c>
      <c r="CJ36" s="44">
        <f t="shared" si="57"/>
        <v>0</v>
      </c>
      <c r="CK36" s="44">
        <f t="shared" si="57"/>
        <v>0</v>
      </c>
      <c r="CL36" s="44">
        <f t="shared" si="57"/>
        <v>0</v>
      </c>
      <c r="CM36" s="44">
        <f t="shared" si="57"/>
        <v>0</v>
      </c>
      <c r="CN36" s="44">
        <f t="shared" si="57"/>
        <v>0</v>
      </c>
      <c r="CO36" s="44">
        <f t="shared" si="57"/>
        <v>0</v>
      </c>
      <c r="CP36" s="44">
        <f t="shared" si="57"/>
        <v>0</v>
      </c>
      <c r="CQ36" s="44">
        <f t="shared" si="57"/>
        <v>0</v>
      </c>
      <c r="CR36" s="44">
        <f t="shared" si="57"/>
        <v>0</v>
      </c>
      <c r="CS36" s="44">
        <f t="shared" si="57"/>
        <v>0</v>
      </c>
      <c r="CT36" s="44">
        <f t="shared" si="57"/>
        <v>0</v>
      </c>
      <c r="CU36" s="44">
        <f t="shared" si="57"/>
        <v>0</v>
      </c>
      <c r="CV36" s="44">
        <f t="shared" si="57"/>
        <v>0</v>
      </c>
      <c r="CW36" s="44">
        <f t="shared" si="57"/>
        <v>0</v>
      </c>
      <c r="CX36" s="36"/>
      <c r="CY36" s="79"/>
      <c r="CZ36" s="36"/>
      <c r="DA36" s="79"/>
      <c r="DB36" s="36"/>
      <c r="DC36" s="79"/>
      <c r="DD36" s="36"/>
      <c r="DE36" s="79"/>
      <c r="DF36" s="36"/>
      <c r="DG36" s="79"/>
      <c r="DH36" s="36"/>
      <c r="DI36" s="79"/>
      <c r="DJ36" s="36"/>
      <c r="DK36" s="79"/>
      <c r="DL36" s="36"/>
      <c r="DM36" s="79"/>
      <c r="DN36" s="36"/>
      <c r="DO36" s="79"/>
      <c r="DP36" s="36"/>
      <c r="DQ36" s="79"/>
      <c r="DR36" s="36"/>
      <c r="DS36" s="79"/>
      <c r="DT36" s="36"/>
      <c r="DU36" s="79"/>
      <c r="DV36" s="37">
        <f t="shared" ref="DV36:DW36" si="58">CX36+CZ36+DB36+DD36+DF36+DH36+DJ36+DL36+DN36+DP36+DR36+DT36</f>
        <v>0</v>
      </c>
      <c r="DW36" s="38">
        <f t="shared" si="58"/>
        <v>0</v>
      </c>
    </row>
    <row r="37" spans="1:127" ht="15.75" customHeight="1">
      <c r="A37" s="80"/>
      <c r="B37" s="81"/>
      <c r="C37" s="82"/>
      <c r="D37" s="82"/>
      <c r="E37" s="82"/>
      <c r="F37" s="45"/>
      <c r="G37" s="169" t="s">
        <v>60</v>
      </c>
      <c r="H37" s="158"/>
      <c r="I37" s="158"/>
      <c r="J37" s="158"/>
      <c r="K37" s="158"/>
      <c r="L37" s="158"/>
      <c r="M37" s="159"/>
      <c r="N37" s="160" t="str">
        <f>J8</f>
        <v>INC</v>
      </c>
      <c r="O37" s="161"/>
      <c r="P37" s="44">
        <f t="shared" ref="P37:AU37" si="59">COUNTIF(P9:P33,"INC")</f>
        <v>0</v>
      </c>
      <c r="Q37" s="44">
        <f t="shared" si="59"/>
        <v>0</v>
      </c>
      <c r="R37" s="44">
        <f t="shared" si="59"/>
        <v>0</v>
      </c>
      <c r="S37" s="44">
        <f t="shared" si="59"/>
        <v>0</v>
      </c>
      <c r="T37" s="44">
        <f t="shared" si="59"/>
        <v>0</v>
      </c>
      <c r="U37" s="44">
        <f t="shared" si="59"/>
        <v>0</v>
      </c>
      <c r="V37" s="44">
        <f t="shared" si="59"/>
        <v>0</v>
      </c>
      <c r="W37" s="44">
        <f t="shared" si="59"/>
        <v>0</v>
      </c>
      <c r="X37" s="44">
        <f t="shared" si="59"/>
        <v>0</v>
      </c>
      <c r="Y37" s="44">
        <f t="shared" si="59"/>
        <v>0</v>
      </c>
      <c r="Z37" s="44">
        <f t="shared" si="59"/>
        <v>0</v>
      </c>
      <c r="AA37" s="44">
        <f t="shared" si="59"/>
        <v>0</v>
      </c>
      <c r="AB37" s="44">
        <f t="shared" si="59"/>
        <v>0</v>
      </c>
      <c r="AC37" s="44">
        <f t="shared" si="59"/>
        <v>0</v>
      </c>
      <c r="AD37" s="44">
        <f t="shared" si="59"/>
        <v>0</v>
      </c>
      <c r="AE37" s="44">
        <f t="shared" si="59"/>
        <v>0</v>
      </c>
      <c r="AF37" s="44">
        <f t="shared" si="59"/>
        <v>0</v>
      </c>
      <c r="AG37" s="44">
        <f t="shared" si="59"/>
        <v>0</v>
      </c>
      <c r="AH37" s="44">
        <f t="shared" si="59"/>
        <v>0</v>
      </c>
      <c r="AI37" s="44">
        <f t="shared" si="59"/>
        <v>0</v>
      </c>
      <c r="AJ37" s="44">
        <f t="shared" si="59"/>
        <v>0</v>
      </c>
      <c r="AK37" s="44">
        <f t="shared" si="59"/>
        <v>0</v>
      </c>
      <c r="AL37" s="44">
        <f t="shared" si="59"/>
        <v>0</v>
      </c>
      <c r="AM37" s="44">
        <f t="shared" si="59"/>
        <v>0</v>
      </c>
      <c r="AN37" s="44">
        <f t="shared" si="59"/>
        <v>0</v>
      </c>
      <c r="AO37" s="44">
        <f t="shared" si="59"/>
        <v>0</v>
      </c>
      <c r="AP37" s="44">
        <f t="shared" si="59"/>
        <v>0</v>
      </c>
      <c r="AQ37" s="44">
        <f t="shared" si="59"/>
        <v>0</v>
      </c>
      <c r="AR37" s="44">
        <f t="shared" si="59"/>
        <v>0</v>
      </c>
      <c r="AS37" s="44">
        <f t="shared" si="59"/>
        <v>0</v>
      </c>
      <c r="AT37" s="44">
        <f t="shared" si="59"/>
        <v>0</v>
      </c>
      <c r="AU37" s="44">
        <f t="shared" si="59"/>
        <v>0</v>
      </c>
      <c r="AV37" s="44">
        <f t="shared" ref="AV37:CA37" si="60">COUNTIF(AV9:AV33,"INC")</f>
        <v>0</v>
      </c>
      <c r="AW37" s="44">
        <f t="shared" si="60"/>
        <v>0</v>
      </c>
      <c r="AX37" s="44">
        <f t="shared" si="60"/>
        <v>0</v>
      </c>
      <c r="AY37" s="44">
        <f t="shared" si="60"/>
        <v>0</v>
      </c>
      <c r="AZ37" s="44">
        <f t="shared" si="60"/>
        <v>0</v>
      </c>
      <c r="BA37" s="44">
        <f t="shared" si="60"/>
        <v>0</v>
      </c>
      <c r="BB37" s="44">
        <f t="shared" si="60"/>
        <v>0</v>
      </c>
      <c r="BC37" s="44">
        <f t="shared" si="60"/>
        <v>0</v>
      </c>
      <c r="BD37" s="44">
        <f t="shared" si="60"/>
        <v>0</v>
      </c>
      <c r="BE37" s="44">
        <f t="shared" si="60"/>
        <v>0</v>
      </c>
      <c r="BF37" s="44">
        <f t="shared" si="60"/>
        <v>0</v>
      </c>
      <c r="BG37" s="44">
        <f t="shared" si="60"/>
        <v>0</v>
      </c>
      <c r="BH37" s="44">
        <f t="shared" si="60"/>
        <v>0</v>
      </c>
      <c r="BI37" s="44">
        <f t="shared" si="60"/>
        <v>0</v>
      </c>
      <c r="BJ37" s="44">
        <f t="shared" si="60"/>
        <v>0</v>
      </c>
      <c r="BK37" s="44">
        <f t="shared" si="60"/>
        <v>0</v>
      </c>
      <c r="BL37" s="44">
        <f t="shared" si="60"/>
        <v>0</v>
      </c>
      <c r="BM37" s="44">
        <f t="shared" si="60"/>
        <v>0</v>
      </c>
      <c r="BN37" s="44">
        <f t="shared" si="60"/>
        <v>0</v>
      </c>
      <c r="BO37" s="44">
        <f t="shared" si="60"/>
        <v>0</v>
      </c>
      <c r="BP37" s="44">
        <f t="shared" si="60"/>
        <v>0</v>
      </c>
      <c r="BQ37" s="44">
        <f t="shared" si="60"/>
        <v>0</v>
      </c>
      <c r="BR37" s="44">
        <f t="shared" si="60"/>
        <v>0</v>
      </c>
      <c r="BS37" s="44">
        <f t="shared" si="60"/>
        <v>0</v>
      </c>
      <c r="BT37" s="44">
        <f t="shared" si="60"/>
        <v>0</v>
      </c>
      <c r="BU37" s="44">
        <f t="shared" si="60"/>
        <v>0</v>
      </c>
      <c r="BV37" s="44">
        <f t="shared" si="60"/>
        <v>0</v>
      </c>
      <c r="BW37" s="44">
        <f t="shared" si="60"/>
        <v>0</v>
      </c>
      <c r="BX37" s="44">
        <f t="shared" si="60"/>
        <v>0</v>
      </c>
      <c r="BY37" s="44">
        <f t="shared" si="60"/>
        <v>0</v>
      </c>
      <c r="BZ37" s="44">
        <f t="shared" si="60"/>
        <v>0</v>
      </c>
      <c r="CA37" s="44">
        <f t="shared" si="60"/>
        <v>0</v>
      </c>
      <c r="CB37" s="44">
        <f t="shared" ref="CB37:CW37" si="61">COUNTIF(CB9:CB33,"INC")</f>
        <v>0</v>
      </c>
      <c r="CC37" s="44">
        <f t="shared" si="61"/>
        <v>0</v>
      </c>
      <c r="CD37" s="44">
        <f t="shared" si="61"/>
        <v>0</v>
      </c>
      <c r="CE37" s="44">
        <f t="shared" si="61"/>
        <v>0</v>
      </c>
      <c r="CF37" s="44">
        <f t="shared" si="61"/>
        <v>0</v>
      </c>
      <c r="CG37" s="44">
        <f t="shared" si="61"/>
        <v>0</v>
      </c>
      <c r="CH37" s="44">
        <f t="shared" si="61"/>
        <v>0</v>
      </c>
      <c r="CI37" s="44">
        <f t="shared" si="61"/>
        <v>0</v>
      </c>
      <c r="CJ37" s="44">
        <f t="shared" si="61"/>
        <v>0</v>
      </c>
      <c r="CK37" s="44">
        <f t="shared" si="61"/>
        <v>0</v>
      </c>
      <c r="CL37" s="44">
        <f t="shared" si="61"/>
        <v>0</v>
      </c>
      <c r="CM37" s="44">
        <f t="shared" si="61"/>
        <v>0</v>
      </c>
      <c r="CN37" s="44">
        <f t="shared" si="61"/>
        <v>0</v>
      </c>
      <c r="CO37" s="44">
        <f t="shared" si="61"/>
        <v>0</v>
      </c>
      <c r="CP37" s="44">
        <f t="shared" si="61"/>
        <v>0</v>
      </c>
      <c r="CQ37" s="44">
        <f t="shared" si="61"/>
        <v>0</v>
      </c>
      <c r="CR37" s="44">
        <f t="shared" si="61"/>
        <v>0</v>
      </c>
      <c r="CS37" s="44">
        <f t="shared" si="61"/>
        <v>0</v>
      </c>
      <c r="CT37" s="44">
        <f t="shared" si="61"/>
        <v>0</v>
      </c>
      <c r="CU37" s="44">
        <f t="shared" si="61"/>
        <v>0</v>
      </c>
      <c r="CV37" s="44">
        <f t="shared" si="61"/>
        <v>0</v>
      </c>
      <c r="CW37" s="44">
        <f t="shared" si="61"/>
        <v>0</v>
      </c>
      <c r="CX37" s="36"/>
      <c r="CY37" s="79"/>
      <c r="CZ37" s="36"/>
      <c r="DA37" s="79"/>
      <c r="DB37" s="36"/>
      <c r="DC37" s="79"/>
      <c r="DD37" s="36"/>
      <c r="DE37" s="79"/>
      <c r="DF37" s="36"/>
      <c r="DG37" s="79"/>
      <c r="DH37" s="36"/>
      <c r="DI37" s="79"/>
      <c r="DJ37" s="36"/>
      <c r="DK37" s="79"/>
      <c r="DL37" s="36"/>
      <c r="DM37" s="79"/>
      <c r="DN37" s="36"/>
      <c r="DO37" s="79"/>
      <c r="DP37" s="36"/>
      <c r="DQ37" s="79"/>
      <c r="DR37" s="36"/>
      <c r="DS37" s="79"/>
      <c r="DT37" s="36"/>
      <c r="DU37" s="79"/>
      <c r="DV37" s="37">
        <f t="shared" ref="DV37:DW37" si="62">CX37+CZ37+DB37+DD37+DF37+DH37+DJ37+DL37+DN37+DP37+DR37+DT37</f>
        <v>0</v>
      </c>
      <c r="DW37" s="38">
        <f t="shared" si="62"/>
        <v>0</v>
      </c>
    </row>
    <row r="38" spans="1:127" ht="15.75" customHeight="1">
      <c r="A38" s="80"/>
      <c r="B38" s="81"/>
      <c r="C38" s="82"/>
      <c r="D38" s="82"/>
      <c r="E38" s="82"/>
      <c r="F38" s="81"/>
      <c r="G38" s="164" t="s">
        <v>61</v>
      </c>
      <c r="H38" s="158"/>
      <c r="I38" s="158"/>
      <c r="J38" s="158"/>
      <c r="K38" s="158"/>
      <c r="L38" s="158"/>
      <c r="M38" s="159"/>
      <c r="N38" s="160" t="str">
        <f>K8</f>
        <v>LIC</v>
      </c>
      <c r="O38" s="161"/>
      <c r="P38" s="44">
        <f t="shared" ref="P38:AU38" si="63">COUNTIF(P9:P33,"LIC")</f>
        <v>0</v>
      </c>
      <c r="Q38" s="44">
        <f t="shared" si="63"/>
        <v>0</v>
      </c>
      <c r="R38" s="44">
        <f t="shared" si="63"/>
        <v>0</v>
      </c>
      <c r="S38" s="44">
        <f t="shared" si="63"/>
        <v>0</v>
      </c>
      <c r="T38" s="44">
        <f t="shared" si="63"/>
        <v>0</v>
      </c>
      <c r="U38" s="44">
        <f t="shared" si="63"/>
        <v>0</v>
      </c>
      <c r="V38" s="44">
        <f t="shared" si="63"/>
        <v>0</v>
      </c>
      <c r="W38" s="44">
        <f t="shared" si="63"/>
        <v>0</v>
      </c>
      <c r="X38" s="44">
        <f t="shared" si="63"/>
        <v>0</v>
      </c>
      <c r="Y38" s="44">
        <f t="shared" si="63"/>
        <v>0</v>
      </c>
      <c r="Z38" s="44">
        <f t="shared" si="63"/>
        <v>0</v>
      </c>
      <c r="AA38" s="44">
        <f t="shared" si="63"/>
        <v>0</v>
      </c>
      <c r="AB38" s="44">
        <f t="shared" si="63"/>
        <v>0</v>
      </c>
      <c r="AC38" s="44">
        <f t="shared" si="63"/>
        <v>0</v>
      </c>
      <c r="AD38" s="44">
        <f t="shared" si="63"/>
        <v>0</v>
      </c>
      <c r="AE38" s="44">
        <f t="shared" si="63"/>
        <v>0</v>
      </c>
      <c r="AF38" s="44">
        <f t="shared" si="63"/>
        <v>0</v>
      </c>
      <c r="AG38" s="44">
        <f t="shared" si="63"/>
        <v>0</v>
      </c>
      <c r="AH38" s="44">
        <f t="shared" si="63"/>
        <v>0</v>
      </c>
      <c r="AI38" s="44">
        <f t="shared" si="63"/>
        <v>0</v>
      </c>
      <c r="AJ38" s="44">
        <f t="shared" si="63"/>
        <v>0</v>
      </c>
      <c r="AK38" s="44">
        <f t="shared" si="63"/>
        <v>0</v>
      </c>
      <c r="AL38" s="44">
        <f t="shared" si="63"/>
        <v>0</v>
      </c>
      <c r="AM38" s="44">
        <f t="shared" si="63"/>
        <v>0</v>
      </c>
      <c r="AN38" s="44">
        <f t="shared" si="63"/>
        <v>0</v>
      </c>
      <c r="AO38" s="44">
        <f t="shared" si="63"/>
        <v>0</v>
      </c>
      <c r="AP38" s="44">
        <f t="shared" si="63"/>
        <v>0</v>
      </c>
      <c r="AQ38" s="44">
        <f t="shared" si="63"/>
        <v>0</v>
      </c>
      <c r="AR38" s="44">
        <f t="shared" si="63"/>
        <v>0</v>
      </c>
      <c r="AS38" s="44">
        <f t="shared" si="63"/>
        <v>0</v>
      </c>
      <c r="AT38" s="44">
        <f t="shared" si="63"/>
        <v>0</v>
      </c>
      <c r="AU38" s="44">
        <f t="shared" si="63"/>
        <v>0</v>
      </c>
      <c r="AV38" s="44">
        <f t="shared" ref="AV38:CA38" si="64">COUNTIF(AV9:AV33,"LIC")</f>
        <v>0</v>
      </c>
      <c r="AW38" s="44">
        <f t="shared" si="64"/>
        <v>0</v>
      </c>
      <c r="AX38" s="44">
        <f t="shared" si="64"/>
        <v>0</v>
      </c>
      <c r="AY38" s="44">
        <f t="shared" si="64"/>
        <v>0</v>
      </c>
      <c r="AZ38" s="44">
        <f t="shared" si="64"/>
        <v>0</v>
      </c>
      <c r="BA38" s="44">
        <f t="shared" si="64"/>
        <v>0</v>
      </c>
      <c r="BB38" s="44">
        <f t="shared" si="64"/>
        <v>0</v>
      </c>
      <c r="BC38" s="44">
        <f t="shared" si="64"/>
        <v>0</v>
      </c>
      <c r="BD38" s="44">
        <f t="shared" si="64"/>
        <v>0</v>
      </c>
      <c r="BE38" s="44">
        <f t="shared" si="64"/>
        <v>0</v>
      </c>
      <c r="BF38" s="44">
        <f t="shared" si="64"/>
        <v>0</v>
      </c>
      <c r="BG38" s="44">
        <f t="shared" si="64"/>
        <v>0</v>
      </c>
      <c r="BH38" s="44">
        <f t="shared" si="64"/>
        <v>0</v>
      </c>
      <c r="BI38" s="44">
        <f t="shared" si="64"/>
        <v>0</v>
      </c>
      <c r="BJ38" s="44">
        <f t="shared" si="64"/>
        <v>0</v>
      </c>
      <c r="BK38" s="44">
        <f t="shared" si="64"/>
        <v>0</v>
      </c>
      <c r="BL38" s="44">
        <f t="shared" si="64"/>
        <v>0</v>
      </c>
      <c r="BM38" s="44">
        <f t="shared" si="64"/>
        <v>0</v>
      </c>
      <c r="BN38" s="44">
        <f t="shared" si="64"/>
        <v>0</v>
      </c>
      <c r="BO38" s="44">
        <f t="shared" si="64"/>
        <v>0</v>
      </c>
      <c r="BP38" s="44">
        <f t="shared" si="64"/>
        <v>0</v>
      </c>
      <c r="BQ38" s="44">
        <f t="shared" si="64"/>
        <v>0</v>
      </c>
      <c r="BR38" s="44">
        <f t="shared" si="64"/>
        <v>0</v>
      </c>
      <c r="BS38" s="44">
        <f t="shared" si="64"/>
        <v>0</v>
      </c>
      <c r="BT38" s="44">
        <f t="shared" si="64"/>
        <v>0</v>
      </c>
      <c r="BU38" s="44">
        <f t="shared" si="64"/>
        <v>0</v>
      </c>
      <c r="BV38" s="44">
        <f t="shared" si="64"/>
        <v>0</v>
      </c>
      <c r="BW38" s="44">
        <f t="shared" si="64"/>
        <v>0</v>
      </c>
      <c r="BX38" s="44">
        <f t="shared" si="64"/>
        <v>0</v>
      </c>
      <c r="BY38" s="44">
        <f t="shared" si="64"/>
        <v>0</v>
      </c>
      <c r="BZ38" s="44">
        <f t="shared" si="64"/>
        <v>0</v>
      </c>
      <c r="CA38" s="44">
        <f t="shared" si="64"/>
        <v>0</v>
      </c>
      <c r="CB38" s="44">
        <f t="shared" ref="CB38:CW38" si="65">COUNTIF(CB9:CB33,"LIC")</f>
        <v>0</v>
      </c>
      <c r="CC38" s="44">
        <f t="shared" si="65"/>
        <v>0</v>
      </c>
      <c r="CD38" s="44">
        <f t="shared" si="65"/>
        <v>0</v>
      </c>
      <c r="CE38" s="44">
        <f t="shared" si="65"/>
        <v>0</v>
      </c>
      <c r="CF38" s="44">
        <f t="shared" si="65"/>
        <v>0</v>
      </c>
      <c r="CG38" s="44">
        <f t="shared" si="65"/>
        <v>0</v>
      </c>
      <c r="CH38" s="44">
        <f t="shared" si="65"/>
        <v>0</v>
      </c>
      <c r="CI38" s="44">
        <f t="shared" si="65"/>
        <v>0</v>
      </c>
      <c r="CJ38" s="44">
        <f t="shared" si="65"/>
        <v>0</v>
      </c>
      <c r="CK38" s="44">
        <f t="shared" si="65"/>
        <v>0</v>
      </c>
      <c r="CL38" s="44">
        <f t="shared" si="65"/>
        <v>0</v>
      </c>
      <c r="CM38" s="44">
        <f t="shared" si="65"/>
        <v>0</v>
      </c>
      <c r="CN38" s="44">
        <f t="shared" si="65"/>
        <v>0</v>
      </c>
      <c r="CO38" s="44">
        <f t="shared" si="65"/>
        <v>0</v>
      </c>
      <c r="CP38" s="44">
        <f t="shared" si="65"/>
        <v>0</v>
      </c>
      <c r="CQ38" s="44">
        <f t="shared" si="65"/>
        <v>0</v>
      </c>
      <c r="CR38" s="44">
        <f t="shared" si="65"/>
        <v>0</v>
      </c>
      <c r="CS38" s="44">
        <f t="shared" si="65"/>
        <v>0</v>
      </c>
      <c r="CT38" s="44">
        <f t="shared" si="65"/>
        <v>0</v>
      </c>
      <c r="CU38" s="44">
        <f t="shared" si="65"/>
        <v>0</v>
      </c>
      <c r="CV38" s="44">
        <f t="shared" si="65"/>
        <v>0</v>
      </c>
      <c r="CW38" s="44">
        <f t="shared" si="65"/>
        <v>0</v>
      </c>
      <c r="CX38" s="36"/>
      <c r="CY38" s="79"/>
      <c r="CZ38" s="36"/>
      <c r="DA38" s="79"/>
      <c r="DB38" s="36"/>
      <c r="DC38" s="79"/>
      <c r="DD38" s="36"/>
      <c r="DE38" s="79"/>
      <c r="DF38" s="36"/>
      <c r="DG38" s="79"/>
      <c r="DH38" s="36"/>
      <c r="DI38" s="79"/>
      <c r="DJ38" s="36"/>
      <c r="DK38" s="79"/>
      <c r="DL38" s="36"/>
      <c r="DM38" s="79"/>
      <c r="DN38" s="36"/>
      <c r="DO38" s="79"/>
      <c r="DP38" s="36"/>
      <c r="DQ38" s="79"/>
      <c r="DR38" s="36"/>
      <c r="DS38" s="79"/>
      <c r="DT38" s="36"/>
      <c r="DU38" s="79"/>
      <c r="DV38" s="37">
        <f t="shared" ref="DV38:DW38" si="66">CX38+CZ38+DB38+DD38+DF38+DH38+DJ38+DL38+DN38+DP38+DR38+DT38</f>
        <v>0</v>
      </c>
      <c r="DW38" s="38">
        <f t="shared" si="66"/>
        <v>0</v>
      </c>
    </row>
    <row r="39" spans="1:127" ht="15.75" customHeight="1">
      <c r="A39" s="80"/>
      <c r="B39" s="81"/>
      <c r="C39" s="82"/>
      <c r="D39" s="82"/>
      <c r="E39" s="82"/>
      <c r="F39" s="81"/>
      <c r="G39" s="157" t="s">
        <v>62</v>
      </c>
      <c r="H39" s="158"/>
      <c r="I39" s="158"/>
      <c r="J39" s="158"/>
      <c r="K39" s="158"/>
      <c r="L39" s="158"/>
      <c r="M39" s="159"/>
      <c r="N39" s="160" t="str">
        <f>L8</f>
        <v>CLM</v>
      </c>
      <c r="O39" s="161"/>
      <c r="P39" s="44">
        <f t="shared" ref="P39:AU39" si="67">COUNTIF(P9:P33,"CLM")</f>
        <v>0</v>
      </c>
      <c r="Q39" s="44">
        <f t="shared" si="67"/>
        <v>0</v>
      </c>
      <c r="R39" s="44">
        <f t="shared" si="67"/>
        <v>0</v>
      </c>
      <c r="S39" s="44">
        <f t="shared" si="67"/>
        <v>0</v>
      </c>
      <c r="T39" s="44">
        <f t="shared" si="67"/>
        <v>0</v>
      </c>
      <c r="U39" s="44">
        <f t="shared" si="67"/>
        <v>0</v>
      </c>
      <c r="V39" s="44">
        <f t="shared" si="67"/>
        <v>0</v>
      </c>
      <c r="W39" s="44">
        <f t="shared" si="67"/>
        <v>0</v>
      </c>
      <c r="X39" s="44">
        <f t="shared" si="67"/>
        <v>0</v>
      </c>
      <c r="Y39" s="44">
        <f t="shared" si="67"/>
        <v>0</v>
      </c>
      <c r="Z39" s="44">
        <f t="shared" si="67"/>
        <v>0</v>
      </c>
      <c r="AA39" s="44">
        <f t="shared" si="67"/>
        <v>0</v>
      </c>
      <c r="AB39" s="44">
        <f t="shared" si="67"/>
        <v>0</v>
      </c>
      <c r="AC39" s="44">
        <f t="shared" si="67"/>
        <v>0</v>
      </c>
      <c r="AD39" s="44">
        <f t="shared" si="67"/>
        <v>0</v>
      </c>
      <c r="AE39" s="44">
        <f t="shared" si="67"/>
        <v>0</v>
      </c>
      <c r="AF39" s="44">
        <f t="shared" si="67"/>
        <v>0</v>
      </c>
      <c r="AG39" s="44">
        <f t="shared" si="67"/>
        <v>0</v>
      </c>
      <c r="AH39" s="44">
        <f t="shared" si="67"/>
        <v>0</v>
      </c>
      <c r="AI39" s="44">
        <f t="shared" si="67"/>
        <v>0</v>
      </c>
      <c r="AJ39" s="44">
        <f t="shared" si="67"/>
        <v>0</v>
      </c>
      <c r="AK39" s="44">
        <f t="shared" si="67"/>
        <v>0</v>
      </c>
      <c r="AL39" s="44">
        <f t="shared" si="67"/>
        <v>0</v>
      </c>
      <c r="AM39" s="44">
        <f t="shared" si="67"/>
        <v>0</v>
      </c>
      <c r="AN39" s="44">
        <f t="shared" si="67"/>
        <v>0</v>
      </c>
      <c r="AO39" s="44">
        <f t="shared" si="67"/>
        <v>0</v>
      </c>
      <c r="AP39" s="44">
        <f t="shared" si="67"/>
        <v>0</v>
      </c>
      <c r="AQ39" s="44">
        <f t="shared" si="67"/>
        <v>0</v>
      </c>
      <c r="AR39" s="44">
        <f t="shared" si="67"/>
        <v>0</v>
      </c>
      <c r="AS39" s="44">
        <f t="shared" si="67"/>
        <v>0</v>
      </c>
      <c r="AT39" s="44">
        <f t="shared" si="67"/>
        <v>0</v>
      </c>
      <c r="AU39" s="44">
        <f t="shared" si="67"/>
        <v>0</v>
      </c>
      <c r="AV39" s="44">
        <f t="shared" ref="AV39:CA39" si="68">COUNTIF(AV9:AV33,"CLM")</f>
        <v>0</v>
      </c>
      <c r="AW39" s="44">
        <f t="shared" si="68"/>
        <v>0</v>
      </c>
      <c r="AX39" s="44">
        <f t="shared" si="68"/>
        <v>0</v>
      </c>
      <c r="AY39" s="44">
        <f t="shared" si="68"/>
        <v>0</v>
      </c>
      <c r="AZ39" s="44">
        <f t="shared" si="68"/>
        <v>0</v>
      </c>
      <c r="BA39" s="44">
        <f t="shared" si="68"/>
        <v>0</v>
      </c>
      <c r="BB39" s="44">
        <f t="shared" si="68"/>
        <v>0</v>
      </c>
      <c r="BC39" s="44">
        <f t="shared" si="68"/>
        <v>0</v>
      </c>
      <c r="BD39" s="44">
        <f t="shared" si="68"/>
        <v>0</v>
      </c>
      <c r="BE39" s="44">
        <f t="shared" si="68"/>
        <v>0</v>
      </c>
      <c r="BF39" s="44">
        <f t="shared" si="68"/>
        <v>0</v>
      </c>
      <c r="BG39" s="44">
        <f t="shared" si="68"/>
        <v>0</v>
      </c>
      <c r="BH39" s="44">
        <f t="shared" si="68"/>
        <v>0</v>
      </c>
      <c r="BI39" s="44">
        <f t="shared" si="68"/>
        <v>0</v>
      </c>
      <c r="BJ39" s="44">
        <f t="shared" si="68"/>
        <v>0</v>
      </c>
      <c r="BK39" s="44">
        <f t="shared" si="68"/>
        <v>0</v>
      </c>
      <c r="BL39" s="44">
        <f t="shared" si="68"/>
        <v>0</v>
      </c>
      <c r="BM39" s="44">
        <f t="shared" si="68"/>
        <v>0</v>
      </c>
      <c r="BN39" s="44">
        <f t="shared" si="68"/>
        <v>0</v>
      </c>
      <c r="BO39" s="44">
        <f t="shared" si="68"/>
        <v>0</v>
      </c>
      <c r="BP39" s="44">
        <f t="shared" si="68"/>
        <v>0</v>
      </c>
      <c r="BQ39" s="44">
        <f t="shared" si="68"/>
        <v>0</v>
      </c>
      <c r="BR39" s="44">
        <f t="shared" si="68"/>
        <v>0</v>
      </c>
      <c r="BS39" s="44">
        <f t="shared" si="68"/>
        <v>0</v>
      </c>
      <c r="BT39" s="44">
        <f t="shared" si="68"/>
        <v>0</v>
      </c>
      <c r="BU39" s="44">
        <f t="shared" si="68"/>
        <v>0</v>
      </c>
      <c r="BV39" s="44">
        <f t="shared" si="68"/>
        <v>0</v>
      </c>
      <c r="BW39" s="44">
        <f t="shared" si="68"/>
        <v>0</v>
      </c>
      <c r="BX39" s="44">
        <f t="shared" si="68"/>
        <v>0</v>
      </c>
      <c r="BY39" s="44">
        <f t="shared" si="68"/>
        <v>0</v>
      </c>
      <c r="BZ39" s="44">
        <f t="shared" si="68"/>
        <v>0</v>
      </c>
      <c r="CA39" s="44">
        <f t="shared" si="68"/>
        <v>0</v>
      </c>
      <c r="CB39" s="44">
        <f t="shared" ref="CB39:CW39" si="69">COUNTIF(CB9:CB33,"CLM")</f>
        <v>0</v>
      </c>
      <c r="CC39" s="44">
        <f t="shared" si="69"/>
        <v>0</v>
      </c>
      <c r="CD39" s="44">
        <f t="shared" si="69"/>
        <v>0</v>
      </c>
      <c r="CE39" s="44">
        <f t="shared" si="69"/>
        <v>0</v>
      </c>
      <c r="CF39" s="44">
        <f t="shared" si="69"/>
        <v>0</v>
      </c>
      <c r="CG39" s="44">
        <f t="shared" si="69"/>
        <v>0</v>
      </c>
      <c r="CH39" s="44">
        <f t="shared" si="69"/>
        <v>0</v>
      </c>
      <c r="CI39" s="44">
        <f t="shared" si="69"/>
        <v>0</v>
      </c>
      <c r="CJ39" s="44">
        <f t="shared" si="69"/>
        <v>0</v>
      </c>
      <c r="CK39" s="44">
        <f t="shared" si="69"/>
        <v>0</v>
      </c>
      <c r="CL39" s="44">
        <f t="shared" si="69"/>
        <v>0</v>
      </c>
      <c r="CM39" s="44">
        <f t="shared" si="69"/>
        <v>0</v>
      </c>
      <c r="CN39" s="44">
        <f t="shared" si="69"/>
        <v>0</v>
      </c>
      <c r="CO39" s="44">
        <f t="shared" si="69"/>
        <v>0</v>
      </c>
      <c r="CP39" s="44">
        <f t="shared" si="69"/>
        <v>0</v>
      </c>
      <c r="CQ39" s="44">
        <f t="shared" si="69"/>
        <v>0</v>
      </c>
      <c r="CR39" s="44">
        <f t="shared" si="69"/>
        <v>0</v>
      </c>
      <c r="CS39" s="44">
        <f t="shared" si="69"/>
        <v>0</v>
      </c>
      <c r="CT39" s="44">
        <f t="shared" si="69"/>
        <v>0</v>
      </c>
      <c r="CU39" s="44">
        <f t="shared" si="69"/>
        <v>0</v>
      </c>
      <c r="CV39" s="44">
        <f t="shared" si="69"/>
        <v>0</v>
      </c>
      <c r="CW39" s="44">
        <f t="shared" si="69"/>
        <v>0</v>
      </c>
      <c r="CX39" s="36"/>
      <c r="CY39" s="79"/>
      <c r="CZ39" s="36"/>
      <c r="DA39" s="79"/>
      <c r="DB39" s="36"/>
      <c r="DC39" s="79"/>
      <c r="DD39" s="36"/>
      <c r="DE39" s="79"/>
      <c r="DF39" s="36"/>
      <c r="DG39" s="79"/>
      <c r="DH39" s="36"/>
      <c r="DI39" s="79"/>
      <c r="DJ39" s="36"/>
      <c r="DK39" s="79"/>
      <c r="DL39" s="36"/>
      <c r="DM39" s="79"/>
      <c r="DN39" s="36"/>
      <c r="DO39" s="79"/>
      <c r="DP39" s="36"/>
      <c r="DQ39" s="79"/>
      <c r="DR39" s="36"/>
      <c r="DS39" s="79"/>
      <c r="DT39" s="36"/>
      <c r="DU39" s="79"/>
      <c r="DV39" s="37">
        <f t="shared" ref="DV39:DW39" si="70">CX39+CZ39+DB39+DD39+DF39+DH39+DJ39+DL39+DN39+DP39+DR39+DT39</f>
        <v>0</v>
      </c>
      <c r="DW39" s="38">
        <f t="shared" si="70"/>
        <v>0</v>
      </c>
    </row>
    <row r="40" spans="1:127" ht="15.75" customHeight="1">
      <c r="A40" s="80"/>
      <c r="B40" s="81"/>
      <c r="C40" s="82"/>
      <c r="D40" s="82"/>
      <c r="E40" s="82"/>
      <c r="F40" s="81"/>
      <c r="G40" s="162" t="s">
        <v>63</v>
      </c>
      <c r="H40" s="158"/>
      <c r="I40" s="158"/>
      <c r="J40" s="158"/>
      <c r="K40" s="158"/>
      <c r="L40" s="158"/>
      <c r="M40" s="159"/>
      <c r="N40" s="160" t="str">
        <f>M8</f>
        <v>SFF</v>
      </c>
      <c r="O40" s="161"/>
      <c r="P40" s="44">
        <f t="shared" ref="P40:AU40" si="71">COUNTIF(P9:P33,"SFF")</f>
        <v>0</v>
      </c>
      <c r="Q40" s="44">
        <f t="shared" si="71"/>
        <v>0</v>
      </c>
      <c r="R40" s="44">
        <f t="shared" si="71"/>
        <v>0</v>
      </c>
      <c r="S40" s="44">
        <f t="shared" si="71"/>
        <v>0</v>
      </c>
      <c r="T40" s="44">
        <f t="shared" si="71"/>
        <v>0</v>
      </c>
      <c r="U40" s="44">
        <f t="shared" si="71"/>
        <v>0</v>
      </c>
      <c r="V40" s="44">
        <f t="shared" si="71"/>
        <v>0</v>
      </c>
      <c r="W40" s="44">
        <f t="shared" si="71"/>
        <v>0</v>
      </c>
      <c r="X40" s="44">
        <f t="shared" si="71"/>
        <v>0</v>
      </c>
      <c r="Y40" s="44">
        <f t="shared" si="71"/>
        <v>0</v>
      </c>
      <c r="Z40" s="44">
        <f t="shared" si="71"/>
        <v>0</v>
      </c>
      <c r="AA40" s="44">
        <f t="shared" si="71"/>
        <v>0</v>
      </c>
      <c r="AB40" s="44">
        <f t="shared" si="71"/>
        <v>0</v>
      </c>
      <c r="AC40" s="44">
        <f t="shared" si="71"/>
        <v>0</v>
      </c>
      <c r="AD40" s="44">
        <f t="shared" si="71"/>
        <v>0</v>
      </c>
      <c r="AE40" s="44">
        <f t="shared" si="71"/>
        <v>0</v>
      </c>
      <c r="AF40" s="44">
        <f t="shared" si="71"/>
        <v>0</v>
      </c>
      <c r="AG40" s="44">
        <f t="shared" si="71"/>
        <v>0</v>
      </c>
      <c r="AH40" s="44">
        <f t="shared" si="71"/>
        <v>0</v>
      </c>
      <c r="AI40" s="44">
        <f t="shared" si="71"/>
        <v>0</v>
      </c>
      <c r="AJ40" s="44">
        <f t="shared" si="71"/>
        <v>0</v>
      </c>
      <c r="AK40" s="44">
        <f t="shared" si="71"/>
        <v>0</v>
      </c>
      <c r="AL40" s="44">
        <f t="shared" si="71"/>
        <v>0</v>
      </c>
      <c r="AM40" s="44">
        <f t="shared" si="71"/>
        <v>0</v>
      </c>
      <c r="AN40" s="44">
        <f t="shared" si="71"/>
        <v>0</v>
      </c>
      <c r="AO40" s="44">
        <f t="shared" si="71"/>
        <v>0</v>
      </c>
      <c r="AP40" s="44">
        <f t="shared" si="71"/>
        <v>0</v>
      </c>
      <c r="AQ40" s="44">
        <f t="shared" si="71"/>
        <v>0</v>
      </c>
      <c r="AR40" s="44">
        <f t="shared" si="71"/>
        <v>0</v>
      </c>
      <c r="AS40" s="44">
        <f t="shared" si="71"/>
        <v>0</v>
      </c>
      <c r="AT40" s="44">
        <f t="shared" si="71"/>
        <v>0</v>
      </c>
      <c r="AU40" s="44">
        <f t="shared" si="71"/>
        <v>0</v>
      </c>
      <c r="AV40" s="44">
        <f t="shared" ref="AV40:CA40" si="72">COUNTIF(AV9:AV33,"SFF")</f>
        <v>0</v>
      </c>
      <c r="AW40" s="44">
        <f t="shared" si="72"/>
        <v>0</v>
      </c>
      <c r="AX40" s="44">
        <f t="shared" si="72"/>
        <v>0</v>
      </c>
      <c r="AY40" s="44">
        <f t="shared" si="72"/>
        <v>0</v>
      </c>
      <c r="AZ40" s="44">
        <f t="shared" si="72"/>
        <v>0</v>
      </c>
      <c r="BA40" s="44">
        <f t="shared" si="72"/>
        <v>0</v>
      </c>
      <c r="BB40" s="44">
        <f t="shared" si="72"/>
        <v>0</v>
      </c>
      <c r="BC40" s="44">
        <f t="shared" si="72"/>
        <v>0</v>
      </c>
      <c r="BD40" s="44">
        <f t="shared" si="72"/>
        <v>0</v>
      </c>
      <c r="BE40" s="44">
        <f t="shared" si="72"/>
        <v>0</v>
      </c>
      <c r="BF40" s="44">
        <f t="shared" si="72"/>
        <v>0</v>
      </c>
      <c r="BG40" s="44">
        <f t="shared" si="72"/>
        <v>0</v>
      </c>
      <c r="BH40" s="44">
        <f t="shared" si="72"/>
        <v>0</v>
      </c>
      <c r="BI40" s="44">
        <f t="shared" si="72"/>
        <v>0</v>
      </c>
      <c r="BJ40" s="44">
        <f t="shared" si="72"/>
        <v>0</v>
      </c>
      <c r="BK40" s="44">
        <f t="shared" si="72"/>
        <v>0</v>
      </c>
      <c r="BL40" s="44">
        <f t="shared" si="72"/>
        <v>0</v>
      </c>
      <c r="BM40" s="44">
        <f t="shared" si="72"/>
        <v>0</v>
      </c>
      <c r="BN40" s="44">
        <f t="shared" si="72"/>
        <v>0</v>
      </c>
      <c r="BO40" s="44">
        <f t="shared" si="72"/>
        <v>0</v>
      </c>
      <c r="BP40" s="44">
        <f t="shared" si="72"/>
        <v>0</v>
      </c>
      <c r="BQ40" s="44">
        <f t="shared" si="72"/>
        <v>0</v>
      </c>
      <c r="BR40" s="44">
        <f t="shared" si="72"/>
        <v>0</v>
      </c>
      <c r="BS40" s="44">
        <f t="shared" si="72"/>
        <v>0</v>
      </c>
      <c r="BT40" s="44">
        <f t="shared" si="72"/>
        <v>0</v>
      </c>
      <c r="BU40" s="44">
        <f t="shared" si="72"/>
        <v>0</v>
      </c>
      <c r="BV40" s="44">
        <f t="shared" si="72"/>
        <v>0</v>
      </c>
      <c r="BW40" s="44">
        <f t="shared" si="72"/>
        <v>0</v>
      </c>
      <c r="BX40" s="44">
        <f t="shared" si="72"/>
        <v>0</v>
      </c>
      <c r="BY40" s="44">
        <f t="shared" si="72"/>
        <v>0</v>
      </c>
      <c r="BZ40" s="44">
        <f t="shared" si="72"/>
        <v>0</v>
      </c>
      <c r="CA40" s="44">
        <f t="shared" si="72"/>
        <v>0</v>
      </c>
      <c r="CB40" s="44">
        <f t="shared" ref="CB40:CW40" si="73">COUNTIF(CB9:CB33,"SFF")</f>
        <v>0</v>
      </c>
      <c r="CC40" s="44">
        <f t="shared" si="73"/>
        <v>0</v>
      </c>
      <c r="CD40" s="44">
        <f t="shared" si="73"/>
        <v>0</v>
      </c>
      <c r="CE40" s="44">
        <f t="shared" si="73"/>
        <v>0</v>
      </c>
      <c r="CF40" s="44">
        <f t="shared" si="73"/>
        <v>0</v>
      </c>
      <c r="CG40" s="44">
        <f t="shared" si="73"/>
        <v>0</v>
      </c>
      <c r="CH40" s="44">
        <f t="shared" si="73"/>
        <v>0</v>
      </c>
      <c r="CI40" s="44">
        <f t="shared" si="73"/>
        <v>0</v>
      </c>
      <c r="CJ40" s="44">
        <f t="shared" si="73"/>
        <v>0</v>
      </c>
      <c r="CK40" s="44">
        <f t="shared" si="73"/>
        <v>0</v>
      </c>
      <c r="CL40" s="44">
        <f t="shared" si="73"/>
        <v>0</v>
      </c>
      <c r="CM40" s="44">
        <f t="shared" si="73"/>
        <v>0</v>
      </c>
      <c r="CN40" s="44">
        <f t="shared" si="73"/>
        <v>0</v>
      </c>
      <c r="CO40" s="44">
        <f t="shared" si="73"/>
        <v>0</v>
      </c>
      <c r="CP40" s="44">
        <f t="shared" si="73"/>
        <v>0</v>
      </c>
      <c r="CQ40" s="44">
        <f t="shared" si="73"/>
        <v>0</v>
      </c>
      <c r="CR40" s="44">
        <f t="shared" si="73"/>
        <v>0</v>
      </c>
      <c r="CS40" s="44">
        <f t="shared" si="73"/>
        <v>0</v>
      </c>
      <c r="CT40" s="44">
        <f t="shared" si="73"/>
        <v>0</v>
      </c>
      <c r="CU40" s="44">
        <f t="shared" si="73"/>
        <v>0</v>
      </c>
      <c r="CV40" s="44">
        <f t="shared" si="73"/>
        <v>0</v>
      </c>
      <c r="CW40" s="44">
        <f t="shared" si="73"/>
        <v>0</v>
      </c>
      <c r="CX40" s="36"/>
      <c r="CY40" s="79"/>
      <c r="CZ40" s="36"/>
      <c r="DA40" s="79"/>
      <c r="DB40" s="36"/>
      <c r="DC40" s="79"/>
      <c r="DD40" s="36"/>
      <c r="DE40" s="79"/>
      <c r="DF40" s="36"/>
      <c r="DG40" s="79"/>
      <c r="DH40" s="36"/>
      <c r="DI40" s="79"/>
      <c r="DJ40" s="36"/>
      <c r="DK40" s="79"/>
      <c r="DL40" s="36"/>
      <c r="DM40" s="79"/>
      <c r="DN40" s="36"/>
      <c r="DO40" s="79"/>
      <c r="DP40" s="36"/>
      <c r="DQ40" s="79"/>
      <c r="DR40" s="36"/>
      <c r="DS40" s="79"/>
      <c r="DT40" s="36"/>
      <c r="DU40" s="79"/>
      <c r="DV40" s="37">
        <f t="shared" ref="DV40:DW40" si="74">CX40+CZ40+DB40+DD40+DF40+DH40+DJ40+DL40+DN40+DP40+DR40+DT40</f>
        <v>0</v>
      </c>
      <c r="DW40" s="38">
        <f t="shared" si="74"/>
        <v>0</v>
      </c>
    </row>
    <row r="41" spans="1:127" ht="15.75" customHeight="1">
      <c r="A41" s="80"/>
      <c r="B41" s="81"/>
      <c r="C41" s="82"/>
      <c r="D41" s="82"/>
      <c r="E41" s="82"/>
      <c r="F41" s="81"/>
      <c r="G41" s="163" t="s">
        <v>64</v>
      </c>
      <c r="H41" s="158"/>
      <c r="I41" s="158"/>
      <c r="J41" s="158"/>
      <c r="K41" s="158"/>
      <c r="L41" s="158"/>
      <c r="M41" s="159"/>
      <c r="N41" s="160" t="str">
        <f>N8</f>
        <v>RET</v>
      </c>
      <c r="O41" s="161"/>
      <c r="P41" s="44">
        <f t="shared" ref="P41:AU41" si="75">COUNTIF(P9:P33,"RET")</f>
        <v>0</v>
      </c>
      <c r="Q41" s="44">
        <f t="shared" si="75"/>
        <v>0</v>
      </c>
      <c r="R41" s="44">
        <f t="shared" si="75"/>
        <v>0</v>
      </c>
      <c r="S41" s="44">
        <f t="shared" si="75"/>
        <v>0</v>
      </c>
      <c r="T41" s="44">
        <f t="shared" si="75"/>
        <v>0</v>
      </c>
      <c r="U41" s="44">
        <f t="shared" si="75"/>
        <v>0</v>
      </c>
      <c r="V41" s="44">
        <f t="shared" si="75"/>
        <v>0</v>
      </c>
      <c r="W41" s="44">
        <f t="shared" si="75"/>
        <v>0</v>
      </c>
      <c r="X41" s="44">
        <f t="shared" si="75"/>
        <v>0</v>
      </c>
      <c r="Y41" s="44">
        <f t="shared" si="75"/>
        <v>0</v>
      </c>
      <c r="Z41" s="44">
        <f t="shared" si="75"/>
        <v>0</v>
      </c>
      <c r="AA41" s="44">
        <f t="shared" si="75"/>
        <v>0</v>
      </c>
      <c r="AB41" s="44">
        <f t="shared" si="75"/>
        <v>0</v>
      </c>
      <c r="AC41" s="44">
        <f t="shared" si="75"/>
        <v>0</v>
      </c>
      <c r="AD41" s="44">
        <f t="shared" si="75"/>
        <v>0</v>
      </c>
      <c r="AE41" s="44">
        <f t="shared" si="75"/>
        <v>0</v>
      </c>
      <c r="AF41" s="44">
        <f t="shared" si="75"/>
        <v>0</v>
      </c>
      <c r="AG41" s="44">
        <f t="shared" si="75"/>
        <v>0</v>
      </c>
      <c r="AH41" s="44">
        <f t="shared" si="75"/>
        <v>0</v>
      </c>
      <c r="AI41" s="44">
        <f t="shared" si="75"/>
        <v>0</v>
      </c>
      <c r="AJ41" s="44">
        <f t="shared" si="75"/>
        <v>0</v>
      </c>
      <c r="AK41" s="44">
        <f t="shared" si="75"/>
        <v>0</v>
      </c>
      <c r="AL41" s="44">
        <f t="shared" si="75"/>
        <v>0</v>
      </c>
      <c r="AM41" s="44">
        <f t="shared" si="75"/>
        <v>0</v>
      </c>
      <c r="AN41" s="44">
        <f t="shared" si="75"/>
        <v>0</v>
      </c>
      <c r="AO41" s="44">
        <f t="shared" si="75"/>
        <v>0</v>
      </c>
      <c r="AP41" s="44">
        <f t="shared" si="75"/>
        <v>0</v>
      </c>
      <c r="AQ41" s="44">
        <f t="shared" si="75"/>
        <v>0</v>
      </c>
      <c r="AR41" s="44">
        <f t="shared" si="75"/>
        <v>0</v>
      </c>
      <c r="AS41" s="44">
        <f t="shared" si="75"/>
        <v>0</v>
      </c>
      <c r="AT41" s="44">
        <f t="shared" si="75"/>
        <v>0</v>
      </c>
      <c r="AU41" s="44">
        <f t="shared" si="75"/>
        <v>0</v>
      </c>
      <c r="AV41" s="44">
        <f t="shared" ref="AV41:CA41" si="76">COUNTIF(AV9:AV33,"RET")</f>
        <v>0</v>
      </c>
      <c r="AW41" s="44">
        <f t="shared" si="76"/>
        <v>0</v>
      </c>
      <c r="AX41" s="44">
        <f t="shared" si="76"/>
        <v>0</v>
      </c>
      <c r="AY41" s="44">
        <f t="shared" si="76"/>
        <v>0</v>
      </c>
      <c r="AZ41" s="44">
        <f t="shared" si="76"/>
        <v>0</v>
      </c>
      <c r="BA41" s="44">
        <f t="shared" si="76"/>
        <v>0</v>
      </c>
      <c r="BB41" s="44">
        <f t="shared" si="76"/>
        <v>0</v>
      </c>
      <c r="BC41" s="44">
        <f t="shared" si="76"/>
        <v>0</v>
      </c>
      <c r="BD41" s="44">
        <f t="shared" si="76"/>
        <v>0</v>
      </c>
      <c r="BE41" s="44">
        <f t="shared" si="76"/>
        <v>0</v>
      </c>
      <c r="BF41" s="44">
        <f t="shared" si="76"/>
        <v>0</v>
      </c>
      <c r="BG41" s="44">
        <f t="shared" si="76"/>
        <v>0</v>
      </c>
      <c r="BH41" s="44">
        <f t="shared" si="76"/>
        <v>0</v>
      </c>
      <c r="BI41" s="44">
        <f t="shared" si="76"/>
        <v>0</v>
      </c>
      <c r="BJ41" s="44">
        <f t="shared" si="76"/>
        <v>0</v>
      </c>
      <c r="BK41" s="44">
        <f t="shared" si="76"/>
        <v>0</v>
      </c>
      <c r="BL41" s="44">
        <f t="shared" si="76"/>
        <v>0</v>
      </c>
      <c r="BM41" s="44">
        <f t="shared" si="76"/>
        <v>0</v>
      </c>
      <c r="BN41" s="44">
        <f t="shared" si="76"/>
        <v>0</v>
      </c>
      <c r="BO41" s="44">
        <f t="shared" si="76"/>
        <v>0</v>
      </c>
      <c r="BP41" s="44">
        <f t="shared" si="76"/>
        <v>0</v>
      </c>
      <c r="BQ41" s="44">
        <f t="shared" si="76"/>
        <v>0</v>
      </c>
      <c r="BR41" s="44">
        <f t="shared" si="76"/>
        <v>0</v>
      </c>
      <c r="BS41" s="44">
        <f t="shared" si="76"/>
        <v>0</v>
      </c>
      <c r="BT41" s="44">
        <f t="shared" si="76"/>
        <v>0</v>
      </c>
      <c r="BU41" s="44">
        <f t="shared" si="76"/>
        <v>0</v>
      </c>
      <c r="BV41" s="44">
        <f t="shared" si="76"/>
        <v>0</v>
      </c>
      <c r="BW41" s="44">
        <f t="shared" si="76"/>
        <v>0</v>
      </c>
      <c r="BX41" s="44">
        <f t="shared" si="76"/>
        <v>0</v>
      </c>
      <c r="BY41" s="44">
        <f t="shared" si="76"/>
        <v>0</v>
      </c>
      <c r="BZ41" s="44">
        <f t="shared" si="76"/>
        <v>0</v>
      </c>
      <c r="CA41" s="44">
        <f t="shared" si="76"/>
        <v>0</v>
      </c>
      <c r="CB41" s="44">
        <f t="shared" ref="CB41:CW41" si="77">COUNTIF(CB9:CB33,"RET")</f>
        <v>0</v>
      </c>
      <c r="CC41" s="44">
        <f t="shared" si="77"/>
        <v>0</v>
      </c>
      <c r="CD41" s="44">
        <f t="shared" si="77"/>
        <v>0</v>
      </c>
      <c r="CE41" s="44">
        <f t="shared" si="77"/>
        <v>0</v>
      </c>
      <c r="CF41" s="44">
        <f t="shared" si="77"/>
        <v>0</v>
      </c>
      <c r="CG41" s="44">
        <f t="shared" si="77"/>
        <v>0</v>
      </c>
      <c r="CH41" s="44">
        <f t="shared" si="77"/>
        <v>0</v>
      </c>
      <c r="CI41" s="44">
        <f t="shared" si="77"/>
        <v>0</v>
      </c>
      <c r="CJ41" s="44">
        <f t="shared" si="77"/>
        <v>0</v>
      </c>
      <c r="CK41" s="44">
        <f t="shared" si="77"/>
        <v>0</v>
      </c>
      <c r="CL41" s="44">
        <f t="shared" si="77"/>
        <v>0</v>
      </c>
      <c r="CM41" s="44">
        <f t="shared" si="77"/>
        <v>0</v>
      </c>
      <c r="CN41" s="44">
        <f t="shared" si="77"/>
        <v>0</v>
      </c>
      <c r="CO41" s="44">
        <f t="shared" si="77"/>
        <v>0</v>
      </c>
      <c r="CP41" s="44">
        <f t="shared" si="77"/>
        <v>0</v>
      </c>
      <c r="CQ41" s="44">
        <f t="shared" si="77"/>
        <v>0</v>
      </c>
      <c r="CR41" s="44">
        <f t="shared" si="77"/>
        <v>0</v>
      </c>
      <c r="CS41" s="44">
        <f t="shared" si="77"/>
        <v>0</v>
      </c>
      <c r="CT41" s="44">
        <f t="shared" si="77"/>
        <v>0</v>
      </c>
      <c r="CU41" s="44">
        <f t="shared" si="77"/>
        <v>0</v>
      </c>
      <c r="CV41" s="44">
        <f t="shared" si="77"/>
        <v>0</v>
      </c>
      <c r="CW41" s="44">
        <f t="shared" si="77"/>
        <v>0</v>
      </c>
      <c r="CX41" s="36"/>
      <c r="CY41" s="79"/>
      <c r="CZ41" s="36"/>
      <c r="DA41" s="79"/>
      <c r="DB41" s="36"/>
      <c r="DC41" s="79"/>
      <c r="DD41" s="36"/>
      <c r="DE41" s="79"/>
      <c r="DF41" s="36"/>
      <c r="DG41" s="79"/>
      <c r="DH41" s="36"/>
      <c r="DI41" s="79"/>
      <c r="DJ41" s="36"/>
      <c r="DK41" s="79"/>
      <c r="DL41" s="36"/>
      <c r="DM41" s="79"/>
      <c r="DN41" s="36"/>
      <c r="DO41" s="79"/>
      <c r="DP41" s="36"/>
      <c r="DQ41" s="79"/>
      <c r="DR41" s="36"/>
      <c r="DS41" s="79"/>
      <c r="DT41" s="36"/>
      <c r="DU41" s="79"/>
      <c r="DV41" s="37">
        <f t="shared" ref="DV41:DW41" si="78">CX41+CZ41+DB41+DD41+DF41+DH41+DJ41+DL41+DN41+DP41+DR41+DT41</f>
        <v>0</v>
      </c>
      <c r="DW41" s="38">
        <f t="shared" si="78"/>
        <v>0</v>
      </c>
    </row>
    <row r="42" spans="1:127" ht="15.75" customHeight="1">
      <c r="A42" s="80"/>
      <c r="B42" s="81"/>
      <c r="C42" s="82"/>
      <c r="D42" s="82"/>
      <c r="E42" s="82"/>
      <c r="F42" s="81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  <c r="AR42" s="82"/>
      <c r="AS42" s="82"/>
      <c r="AT42" s="82"/>
      <c r="AU42" s="82"/>
      <c r="AV42" s="82"/>
      <c r="AW42" s="82"/>
      <c r="AX42" s="82"/>
      <c r="AY42" s="82"/>
      <c r="AZ42" s="82"/>
      <c r="BA42" s="82"/>
      <c r="BB42" s="82"/>
      <c r="BC42" s="82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82"/>
      <c r="BQ42" s="82"/>
      <c r="BR42" s="82"/>
      <c r="BS42" s="82"/>
      <c r="BT42" s="82"/>
      <c r="BU42" s="82"/>
      <c r="BV42" s="82"/>
      <c r="BW42" s="82"/>
      <c r="BX42" s="82"/>
      <c r="BY42" s="82"/>
      <c r="BZ42" s="82"/>
      <c r="CA42" s="82"/>
      <c r="CB42" s="82"/>
      <c r="CC42" s="82"/>
      <c r="CD42" s="82"/>
      <c r="CE42" s="82"/>
      <c r="CF42" s="82"/>
      <c r="CG42" s="82"/>
      <c r="CH42" s="82"/>
      <c r="CI42" s="82"/>
      <c r="CJ42" s="82"/>
      <c r="CK42" s="82"/>
      <c r="CL42" s="82"/>
      <c r="CM42" s="82"/>
      <c r="CN42" s="82"/>
      <c r="CO42" s="82"/>
      <c r="CP42" s="82"/>
      <c r="CQ42" s="82"/>
      <c r="CR42" s="82"/>
      <c r="CS42" s="82"/>
      <c r="CT42" s="82"/>
      <c r="CU42" s="82"/>
      <c r="CV42" s="82"/>
      <c r="CW42" s="82"/>
      <c r="CX42" s="82"/>
      <c r="CY42" s="82"/>
      <c r="CZ42" s="82"/>
      <c r="DA42" s="82"/>
      <c r="DB42" s="82"/>
      <c r="DC42" s="82"/>
      <c r="DD42" s="82"/>
      <c r="DE42" s="82"/>
      <c r="DF42" s="82"/>
      <c r="DG42" s="82"/>
      <c r="DH42" s="82"/>
      <c r="DI42" s="82"/>
      <c r="DJ42" s="82"/>
      <c r="DK42" s="82"/>
      <c r="DL42" s="82"/>
      <c r="DM42" s="82"/>
      <c r="DN42" s="82"/>
      <c r="DO42" s="82"/>
      <c r="DP42" s="82"/>
      <c r="DQ42" s="82"/>
      <c r="DR42" s="82"/>
      <c r="DS42" s="82"/>
      <c r="DT42" s="82"/>
      <c r="DU42" s="82"/>
      <c r="DV42" s="82"/>
      <c r="DW42" s="82"/>
    </row>
    <row r="43" spans="1:127" ht="15.75" customHeight="1">
      <c r="A43" s="80"/>
      <c r="B43" s="81"/>
      <c r="C43" s="82"/>
      <c r="D43" s="82"/>
      <c r="E43" s="82"/>
      <c r="F43" s="81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82"/>
      <c r="AU43" s="82"/>
      <c r="AV43" s="82"/>
      <c r="AW43" s="82"/>
      <c r="AX43" s="82"/>
      <c r="AY43" s="82"/>
      <c r="AZ43" s="82"/>
      <c r="BA43" s="82"/>
      <c r="BB43" s="82"/>
      <c r="BC43" s="82"/>
      <c r="BD43" s="82"/>
      <c r="BE43" s="82"/>
      <c r="BF43" s="82"/>
      <c r="BG43" s="82"/>
      <c r="BH43" s="82"/>
      <c r="BI43" s="82"/>
      <c r="BJ43" s="82"/>
      <c r="BK43" s="82"/>
      <c r="BL43" s="82"/>
      <c r="BM43" s="82"/>
      <c r="BN43" s="82"/>
      <c r="BO43" s="82"/>
      <c r="BP43" s="82"/>
      <c r="BQ43" s="82"/>
      <c r="BR43" s="82"/>
      <c r="BS43" s="82"/>
      <c r="BT43" s="82"/>
      <c r="BU43" s="82"/>
      <c r="BV43" s="82"/>
      <c r="BW43" s="82"/>
      <c r="BX43" s="82"/>
      <c r="BY43" s="82"/>
      <c r="BZ43" s="82"/>
      <c r="CA43" s="82"/>
      <c r="CB43" s="82"/>
      <c r="CC43" s="82"/>
      <c r="CD43" s="82"/>
      <c r="CE43" s="82"/>
      <c r="CF43" s="82"/>
      <c r="CG43" s="82"/>
      <c r="CH43" s="82"/>
      <c r="CI43" s="82"/>
      <c r="CJ43" s="82"/>
      <c r="CK43" s="82"/>
      <c r="CL43" s="82"/>
      <c r="CM43" s="82"/>
      <c r="CN43" s="82"/>
      <c r="CO43" s="82"/>
      <c r="CP43" s="82"/>
      <c r="CQ43" s="82"/>
      <c r="CR43" s="82"/>
      <c r="CS43" s="82"/>
      <c r="CT43" s="82"/>
      <c r="CU43" s="82"/>
      <c r="CV43" s="82"/>
      <c r="CW43" s="82"/>
      <c r="CX43" s="82"/>
      <c r="CY43" s="82"/>
      <c r="CZ43" s="82"/>
      <c r="DA43" s="82"/>
      <c r="DB43" s="82"/>
      <c r="DC43" s="82"/>
      <c r="DD43" s="82"/>
      <c r="DE43" s="82"/>
      <c r="DF43" s="82"/>
      <c r="DG43" s="82"/>
      <c r="DH43" s="82"/>
      <c r="DI43" s="82"/>
      <c r="DJ43" s="82"/>
      <c r="DK43" s="82"/>
      <c r="DL43" s="82"/>
      <c r="DM43" s="82"/>
      <c r="DN43" s="82"/>
      <c r="DO43" s="82"/>
      <c r="DP43" s="82"/>
      <c r="DQ43" s="82"/>
      <c r="DR43" s="82"/>
      <c r="DS43" s="82"/>
      <c r="DT43" s="82"/>
      <c r="DU43" s="82"/>
      <c r="DV43" s="82"/>
      <c r="DW43" s="82"/>
    </row>
    <row r="44" spans="1:127" ht="15.75" customHeight="1">
      <c r="A44" s="80"/>
      <c r="B44" s="81"/>
      <c r="C44" s="82"/>
      <c r="D44" s="82"/>
      <c r="E44" s="82"/>
      <c r="F44" s="81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  <c r="AI44" s="82"/>
      <c r="AJ44" s="82"/>
      <c r="AK44" s="82"/>
      <c r="AL44" s="82"/>
      <c r="AM44" s="82"/>
      <c r="AN44" s="82"/>
      <c r="AO44" s="82"/>
      <c r="AP44" s="82"/>
      <c r="AQ44" s="82"/>
      <c r="AR44" s="82"/>
      <c r="AS44" s="82"/>
      <c r="AT44" s="82"/>
      <c r="AU44" s="82"/>
      <c r="AV44" s="82"/>
      <c r="AW44" s="82"/>
      <c r="AX44" s="82"/>
      <c r="AY44" s="82"/>
      <c r="AZ44" s="82"/>
      <c r="BA44" s="82"/>
      <c r="BB44" s="82"/>
      <c r="BC44" s="82"/>
      <c r="BD44" s="82"/>
      <c r="BE44" s="82"/>
      <c r="BF44" s="82"/>
      <c r="BG44" s="82"/>
      <c r="BH44" s="82"/>
      <c r="BI44" s="82"/>
      <c r="BJ44" s="82"/>
      <c r="BK44" s="82"/>
      <c r="BL44" s="82"/>
      <c r="BM44" s="82"/>
      <c r="BN44" s="82"/>
      <c r="BO44" s="82"/>
      <c r="BP44" s="82"/>
      <c r="BQ44" s="82"/>
      <c r="BR44" s="82"/>
      <c r="BS44" s="82"/>
      <c r="BT44" s="82"/>
      <c r="BU44" s="82"/>
      <c r="BV44" s="82"/>
      <c r="BW44" s="82"/>
      <c r="BX44" s="82"/>
      <c r="BY44" s="82"/>
      <c r="BZ44" s="82"/>
      <c r="CA44" s="82"/>
      <c r="CB44" s="82"/>
      <c r="CC44" s="82"/>
      <c r="CD44" s="82"/>
      <c r="CE44" s="82"/>
      <c r="CF44" s="82"/>
      <c r="CG44" s="82"/>
      <c r="CH44" s="82"/>
      <c r="CI44" s="82"/>
      <c r="CJ44" s="82"/>
      <c r="CK44" s="82"/>
      <c r="CL44" s="82"/>
      <c r="CM44" s="82"/>
      <c r="CN44" s="82"/>
      <c r="CO44" s="82"/>
      <c r="CP44" s="82"/>
      <c r="CQ44" s="82"/>
      <c r="CR44" s="82"/>
      <c r="CS44" s="82"/>
      <c r="CT44" s="82"/>
      <c r="CU44" s="82"/>
      <c r="CV44" s="82"/>
      <c r="CW44" s="82"/>
      <c r="CX44" s="82"/>
      <c r="CY44" s="82"/>
      <c r="CZ44" s="82"/>
      <c r="DA44" s="82"/>
      <c r="DB44" s="82"/>
      <c r="DC44" s="82"/>
      <c r="DD44" s="82"/>
      <c r="DE44" s="82"/>
      <c r="DF44" s="82"/>
      <c r="DG44" s="82"/>
      <c r="DH44" s="82"/>
      <c r="DI44" s="82"/>
      <c r="DJ44" s="82"/>
      <c r="DK44" s="82"/>
      <c r="DL44" s="82"/>
      <c r="DM44" s="82"/>
      <c r="DN44" s="82"/>
      <c r="DO44" s="82"/>
      <c r="DP44" s="82"/>
      <c r="DQ44" s="82"/>
      <c r="DR44" s="82"/>
      <c r="DS44" s="82"/>
      <c r="DT44" s="82"/>
      <c r="DU44" s="82"/>
      <c r="DV44" s="82"/>
      <c r="DW44" s="82"/>
    </row>
    <row r="45" spans="1:127" ht="15.75" customHeight="1">
      <c r="A45" s="80"/>
      <c r="B45" s="81"/>
      <c r="C45" s="83"/>
      <c r="D45" s="82"/>
      <c r="E45" s="82"/>
      <c r="F45" s="8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1:127" ht="15.75" customHeight="1">
      <c r="A46" s="80"/>
      <c r="B46" s="81"/>
      <c r="C46" s="82"/>
      <c r="D46" s="82"/>
      <c r="E46" s="82"/>
      <c r="F46" s="8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1:127" ht="15.75" customHeight="1">
      <c r="A47" s="46"/>
      <c r="B47" s="45"/>
      <c r="C47" s="1"/>
      <c r="D47" s="1"/>
      <c r="E47" s="1"/>
      <c r="F47" s="45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1:127" ht="15.75" customHeight="1">
      <c r="A48" s="46"/>
      <c r="B48" s="45"/>
      <c r="C48" s="1"/>
      <c r="D48" s="1"/>
      <c r="E48" s="1"/>
      <c r="F48" s="45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1:127" ht="15.75" customHeight="1">
      <c r="A49" s="46"/>
      <c r="B49" s="45"/>
      <c r="C49" s="1"/>
      <c r="D49" s="1"/>
      <c r="E49" s="1"/>
      <c r="F49" s="45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1:127" ht="15.75" customHeight="1">
      <c r="A50" s="46"/>
      <c r="B50" s="45"/>
      <c r="C50" s="1"/>
      <c r="D50" s="1"/>
      <c r="E50" s="1"/>
      <c r="F50" s="45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1:127" ht="15.75" customHeight="1">
      <c r="A51" s="46"/>
      <c r="B51" s="45"/>
      <c r="C51" s="1"/>
      <c r="D51" s="1"/>
      <c r="E51" s="1"/>
      <c r="F51" s="45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  <row r="52" spans="1:127" ht="15.75" customHeight="1">
      <c r="A52" s="46"/>
      <c r="B52" s="45"/>
      <c r="C52" s="1"/>
      <c r="D52" s="1"/>
      <c r="E52" s="1"/>
      <c r="F52" s="45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</row>
    <row r="53" spans="1:127" ht="15.75" customHeight="1">
      <c r="A53" s="46"/>
      <c r="B53" s="45"/>
      <c r="C53" s="1"/>
      <c r="D53" s="1"/>
      <c r="E53" s="1"/>
      <c r="F53" s="45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</row>
    <row r="54" spans="1:127" ht="15.75" customHeight="1">
      <c r="A54" s="46"/>
      <c r="B54" s="45"/>
      <c r="C54" s="1"/>
      <c r="D54" s="1"/>
      <c r="E54" s="1"/>
      <c r="F54" s="45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</row>
    <row r="55" spans="1:127" ht="15.75" customHeight="1">
      <c r="A55" s="46"/>
      <c r="B55" s="45"/>
      <c r="C55" s="1"/>
      <c r="D55" s="1"/>
      <c r="E55" s="1"/>
      <c r="F55" s="45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46"/>
      <c r="B56" s="45"/>
      <c r="C56" s="1"/>
      <c r="D56" s="1"/>
      <c r="E56" s="1"/>
      <c r="F56" s="45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6"/>
      <c r="B57" s="45"/>
      <c r="C57" s="1"/>
      <c r="D57" s="1"/>
      <c r="E57" s="1"/>
      <c r="F57" s="45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6"/>
      <c r="B58" s="45"/>
      <c r="C58" s="1"/>
      <c r="D58" s="1"/>
      <c r="E58" s="1"/>
      <c r="F58" s="45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6"/>
      <c r="B59" s="45"/>
      <c r="C59" s="1"/>
      <c r="D59" s="1"/>
      <c r="E59" s="1"/>
      <c r="F59" s="45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6"/>
      <c r="B60" s="45"/>
      <c r="C60" s="1"/>
      <c r="D60" s="1"/>
      <c r="E60" s="1"/>
      <c r="F60" s="45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6"/>
      <c r="B61" s="45"/>
      <c r="C61" s="1"/>
      <c r="D61" s="1"/>
      <c r="E61" s="1"/>
      <c r="F61" s="4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6"/>
      <c r="B62" s="45"/>
      <c r="C62" s="1"/>
      <c r="D62" s="1"/>
      <c r="E62" s="1"/>
      <c r="F62" s="4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6"/>
      <c r="B63" s="45"/>
      <c r="C63" s="1"/>
      <c r="D63" s="1"/>
      <c r="E63" s="1"/>
      <c r="F63" s="45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6"/>
      <c r="B64" s="45"/>
      <c r="C64" s="1"/>
      <c r="D64" s="1"/>
      <c r="E64" s="1"/>
      <c r="F64" s="45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6"/>
      <c r="B65" s="45"/>
      <c r="C65" s="1"/>
      <c r="D65" s="1"/>
      <c r="E65" s="1"/>
      <c r="F65" s="4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6"/>
      <c r="B66" s="45"/>
      <c r="C66" s="1"/>
      <c r="D66" s="1"/>
      <c r="E66" s="1"/>
      <c r="F66" s="45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6"/>
      <c r="B67" s="45"/>
      <c r="C67" s="1"/>
      <c r="D67" s="1"/>
      <c r="E67" s="1"/>
      <c r="F67" s="4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6"/>
      <c r="B68" s="45"/>
      <c r="C68" s="1"/>
      <c r="D68" s="1"/>
      <c r="E68" s="1"/>
      <c r="F68" s="45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6"/>
      <c r="B69" s="45"/>
      <c r="C69" s="1"/>
      <c r="D69" s="1"/>
      <c r="E69" s="1"/>
      <c r="F69" s="45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6"/>
      <c r="B70" s="45"/>
      <c r="C70" s="1"/>
      <c r="D70" s="1"/>
      <c r="E70" s="1"/>
      <c r="F70" s="45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6"/>
      <c r="B71" s="45"/>
      <c r="C71" s="1"/>
      <c r="D71" s="1"/>
      <c r="E71" s="1"/>
      <c r="F71" s="4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6"/>
      <c r="B72" s="45"/>
      <c r="C72" s="1"/>
      <c r="D72" s="1"/>
      <c r="E72" s="1"/>
      <c r="F72" s="45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6"/>
      <c r="B73" s="45"/>
      <c r="C73" s="1"/>
      <c r="D73" s="1"/>
      <c r="E73" s="1"/>
      <c r="F73" s="45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6"/>
      <c r="B74" s="45"/>
      <c r="C74" s="1"/>
      <c r="D74" s="1"/>
      <c r="E74" s="1"/>
      <c r="F74" s="45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6"/>
      <c r="B75" s="45"/>
      <c r="C75" s="1"/>
      <c r="D75" s="1"/>
      <c r="E75" s="1"/>
      <c r="F75" s="4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6"/>
      <c r="B76" s="45"/>
      <c r="C76" s="1"/>
      <c r="D76" s="1"/>
      <c r="E76" s="1"/>
      <c r="F76" s="45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6"/>
      <c r="B77" s="45"/>
      <c r="C77" s="1"/>
      <c r="D77" s="1"/>
      <c r="E77" s="1"/>
      <c r="F77" s="45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6"/>
      <c r="B78" s="45"/>
      <c r="C78" s="1"/>
      <c r="D78" s="1"/>
      <c r="E78" s="1"/>
      <c r="F78" s="45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6"/>
      <c r="B79" s="45"/>
      <c r="C79" s="1"/>
      <c r="D79" s="1"/>
      <c r="E79" s="1"/>
      <c r="F79" s="45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6"/>
      <c r="B80" s="45"/>
      <c r="C80" s="1"/>
      <c r="D80" s="1"/>
      <c r="E80" s="1"/>
      <c r="F80" s="45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6"/>
      <c r="B81" s="45"/>
      <c r="C81" s="1"/>
      <c r="D81" s="1"/>
      <c r="E81" s="1"/>
      <c r="F81" s="45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6"/>
      <c r="B82" s="45"/>
      <c r="C82" s="1"/>
      <c r="D82" s="1"/>
      <c r="E82" s="1"/>
      <c r="F82" s="4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6"/>
      <c r="B83" s="45"/>
      <c r="C83" s="1"/>
      <c r="D83" s="1"/>
      <c r="E83" s="1"/>
      <c r="F83" s="4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6"/>
      <c r="B84" s="45"/>
      <c r="C84" s="1"/>
      <c r="D84" s="1"/>
      <c r="E84" s="1"/>
      <c r="F84" s="45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6"/>
      <c r="B85" s="45"/>
      <c r="C85" s="1"/>
      <c r="D85" s="1"/>
      <c r="E85" s="1"/>
      <c r="F85" s="45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6"/>
      <c r="B86" s="45"/>
      <c r="C86" s="1"/>
      <c r="D86" s="1"/>
      <c r="E86" s="1"/>
      <c r="F86" s="45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6"/>
      <c r="B87" s="45"/>
      <c r="C87" s="1"/>
      <c r="D87" s="1"/>
      <c r="E87" s="1"/>
      <c r="F87" s="45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6"/>
      <c r="B88" s="45"/>
      <c r="C88" s="1"/>
      <c r="D88" s="1"/>
      <c r="E88" s="1"/>
      <c r="F88" s="45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6"/>
      <c r="B89" s="45"/>
      <c r="C89" s="1"/>
      <c r="D89" s="1"/>
      <c r="E89" s="1"/>
      <c r="F89" s="45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6"/>
      <c r="B90" s="45"/>
      <c r="C90" s="1"/>
      <c r="D90" s="1"/>
      <c r="E90" s="1"/>
      <c r="F90" s="45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6"/>
      <c r="B91" s="45"/>
      <c r="C91" s="1"/>
      <c r="D91" s="1"/>
      <c r="E91" s="1"/>
      <c r="F91" s="45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6"/>
      <c r="B92" s="45"/>
      <c r="C92" s="1"/>
      <c r="D92" s="1"/>
      <c r="E92" s="1"/>
      <c r="F92" s="45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6"/>
      <c r="B93" s="45"/>
      <c r="C93" s="1"/>
      <c r="D93" s="1"/>
      <c r="E93" s="1"/>
      <c r="F93" s="4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6"/>
      <c r="B94" s="45"/>
      <c r="C94" s="1"/>
      <c r="D94" s="1"/>
      <c r="E94" s="1"/>
      <c r="F94" s="4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6"/>
      <c r="B95" s="45"/>
      <c r="C95" s="1"/>
      <c r="D95" s="1"/>
      <c r="E95" s="1"/>
      <c r="F95" s="4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6"/>
      <c r="B96" s="45"/>
      <c r="C96" s="1"/>
      <c r="D96" s="1"/>
      <c r="E96" s="1"/>
      <c r="F96" s="4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6"/>
      <c r="B97" s="45"/>
      <c r="C97" s="1"/>
      <c r="D97" s="1"/>
      <c r="E97" s="1"/>
      <c r="F97" s="4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6"/>
      <c r="B98" s="45"/>
      <c r="C98" s="1"/>
      <c r="D98" s="1"/>
      <c r="E98" s="1"/>
      <c r="F98" s="4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6"/>
      <c r="B99" s="45"/>
      <c r="C99" s="1"/>
      <c r="D99" s="1"/>
      <c r="E99" s="1"/>
      <c r="F99" s="4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6"/>
      <c r="B100" s="45"/>
      <c r="C100" s="1"/>
      <c r="D100" s="1"/>
      <c r="E100" s="1"/>
      <c r="F100" s="4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6"/>
      <c r="B101" s="45"/>
      <c r="C101" s="1"/>
      <c r="D101" s="1"/>
      <c r="E101" s="1"/>
      <c r="F101" s="4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6"/>
      <c r="B102" s="45"/>
      <c r="C102" s="1"/>
      <c r="D102" s="1"/>
      <c r="E102" s="1"/>
      <c r="F102" s="4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6"/>
      <c r="B103" s="45"/>
      <c r="C103" s="1"/>
      <c r="D103" s="1"/>
      <c r="E103" s="1"/>
      <c r="F103" s="4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6"/>
      <c r="B104" s="45"/>
      <c r="C104" s="1"/>
      <c r="D104" s="1"/>
      <c r="E104" s="1"/>
      <c r="F104" s="4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6"/>
      <c r="B105" s="45"/>
      <c r="C105" s="1"/>
      <c r="D105" s="1"/>
      <c r="E105" s="1"/>
      <c r="F105" s="4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6"/>
      <c r="B106" s="45"/>
      <c r="C106" s="1"/>
      <c r="D106" s="1"/>
      <c r="E106" s="1"/>
      <c r="F106" s="4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6"/>
      <c r="B107" s="45"/>
      <c r="C107" s="1"/>
      <c r="D107" s="1"/>
      <c r="E107" s="1"/>
      <c r="F107" s="4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6"/>
      <c r="B108" s="45"/>
      <c r="C108" s="1"/>
      <c r="D108" s="1"/>
      <c r="E108" s="1"/>
      <c r="F108" s="4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6"/>
      <c r="B109" s="45"/>
      <c r="C109" s="1"/>
      <c r="D109" s="1"/>
      <c r="E109" s="1"/>
      <c r="F109" s="4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6"/>
      <c r="B110" s="45"/>
      <c r="C110" s="1"/>
      <c r="D110" s="1"/>
      <c r="E110" s="1"/>
      <c r="F110" s="4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6"/>
      <c r="B111" s="45"/>
      <c r="C111" s="1"/>
      <c r="D111" s="1"/>
      <c r="E111" s="1"/>
      <c r="F111" s="4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6"/>
      <c r="B112" s="45"/>
      <c r="C112" s="1"/>
      <c r="D112" s="1"/>
      <c r="E112" s="1"/>
      <c r="F112" s="4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6"/>
      <c r="B113" s="45"/>
      <c r="C113" s="1"/>
      <c r="D113" s="1"/>
      <c r="E113" s="1"/>
      <c r="F113" s="4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6"/>
      <c r="B114" s="45"/>
      <c r="C114" s="1"/>
      <c r="D114" s="1"/>
      <c r="E114" s="1"/>
      <c r="F114" s="4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6"/>
      <c r="B115" s="45"/>
      <c r="C115" s="1"/>
      <c r="D115" s="1"/>
      <c r="E115" s="1"/>
      <c r="F115" s="4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6"/>
      <c r="B116" s="45"/>
      <c r="C116" s="1"/>
      <c r="D116" s="1"/>
      <c r="E116" s="1"/>
      <c r="F116" s="4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6"/>
      <c r="B117" s="45"/>
      <c r="C117" s="1"/>
      <c r="D117" s="1"/>
      <c r="E117" s="1"/>
      <c r="F117" s="4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6"/>
      <c r="B118" s="45"/>
      <c r="C118" s="1"/>
      <c r="D118" s="1"/>
      <c r="E118" s="1"/>
      <c r="F118" s="4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6"/>
      <c r="B119" s="45"/>
      <c r="C119" s="1"/>
      <c r="D119" s="1"/>
      <c r="E119" s="1"/>
      <c r="F119" s="4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6"/>
      <c r="B120" s="45"/>
      <c r="C120" s="1"/>
      <c r="D120" s="1"/>
      <c r="E120" s="1"/>
      <c r="F120" s="4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6"/>
      <c r="B121" s="45"/>
      <c r="C121" s="1"/>
      <c r="D121" s="1"/>
      <c r="E121" s="1"/>
      <c r="F121" s="4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6"/>
      <c r="B122" s="45"/>
      <c r="C122" s="1"/>
      <c r="D122" s="1"/>
      <c r="E122" s="1"/>
      <c r="F122" s="4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6"/>
      <c r="B123" s="45"/>
      <c r="C123" s="1"/>
      <c r="D123" s="1"/>
      <c r="E123" s="1"/>
      <c r="F123" s="4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6"/>
      <c r="B124" s="45"/>
      <c r="C124" s="1"/>
      <c r="D124" s="1"/>
      <c r="E124" s="1"/>
      <c r="F124" s="4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6"/>
      <c r="B125" s="45"/>
      <c r="C125" s="1"/>
      <c r="D125" s="1"/>
      <c r="E125" s="1"/>
      <c r="F125" s="4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6"/>
      <c r="B126" s="45"/>
      <c r="C126" s="1"/>
      <c r="D126" s="1"/>
      <c r="E126" s="1"/>
      <c r="F126" s="4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6"/>
      <c r="B127" s="45"/>
      <c r="C127" s="1"/>
      <c r="D127" s="1"/>
      <c r="E127" s="1"/>
      <c r="F127" s="4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6"/>
      <c r="B128" s="45"/>
      <c r="C128" s="1"/>
      <c r="D128" s="1"/>
      <c r="E128" s="1"/>
      <c r="F128" s="4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6"/>
      <c r="B129" s="45"/>
      <c r="C129" s="1"/>
      <c r="D129" s="1"/>
      <c r="E129" s="1"/>
      <c r="F129" s="4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6"/>
      <c r="B130" s="45"/>
      <c r="C130" s="1"/>
      <c r="D130" s="1"/>
      <c r="E130" s="1"/>
      <c r="F130" s="4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6"/>
      <c r="B131" s="45"/>
      <c r="C131" s="1"/>
      <c r="D131" s="1"/>
      <c r="E131" s="1"/>
      <c r="F131" s="4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6"/>
      <c r="B132" s="45"/>
      <c r="C132" s="1"/>
      <c r="D132" s="1"/>
      <c r="E132" s="1"/>
      <c r="F132" s="4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6"/>
      <c r="B133" s="45"/>
      <c r="C133" s="1"/>
      <c r="D133" s="1"/>
      <c r="E133" s="1"/>
      <c r="F133" s="4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6"/>
      <c r="B134" s="45"/>
      <c r="C134" s="1"/>
      <c r="D134" s="1"/>
      <c r="E134" s="1"/>
      <c r="F134" s="4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6"/>
      <c r="B135" s="45"/>
      <c r="C135" s="1"/>
      <c r="D135" s="1"/>
      <c r="E135" s="1"/>
      <c r="F135" s="4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6"/>
      <c r="B136" s="45"/>
      <c r="C136" s="1"/>
      <c r="D136" s="1"/>
      <c r="E136" s="1"/>
      <c r="F136" s="4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6"/>
      <c r="B137" s="45"/>
      <c r="C137" s="1"/>
      <c r="D137" s="1"/>
      <c r="E137" s="1"/>
      <c r="F137" s="4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6"/>
      <c r="B138" s="45"/>
      <c r="C138" s="1"/>
      <c r="D138" s="1"/>
      <c r="E138" s="1"/>
      <c r="F138" s="4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6"/>
      <c r="B139" s="45"/>
      <c r="C139" s="1"/>
      <c r="D139" s="1"/>
      <c r="E139" s="1"/>
      <c r="F139" s="4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6"/>
      <c r="B140" s="45"/>
      <c r="C140" s="1"/>
      <c r="D140" s="1"/>
      <c r="E140" s="1"/>
      <c r="F140" s="4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6"/>
      <c r="B141" s="45"/>
      <c r="C141" s="1"/>
      <c r="D141" s="1"/>
      <c r="E141" s="1"/>
      <c r="F141" s="4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6"/>
      <c r="B142" s="45"/>
      <c r="C142" s="1"/>
      <c r="D142" s="1"/>
      <c r="E142" s="1"/>
      <c r="F142" s="4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6"/>
      <c r="B143" s="45"/>
      <c r="C143" s="1"/>
      <c r="D143" s="1"/>
      <c r="E143" s="1"/>
      <c r="F143" s="4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6"/>
      <c r="B144" s="45"/>
      <c r="C144" s="1"/>
      <c r="D144" s="1"/>
      <c r="E144" s="1"/>
      <c r="F144" s="4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6"/>
      <c r="B145" s="45"/>
      <c r="C145" s="1"/>
      <c r="D145" s="1"/>
      <c r="E145" s="1"/>
      <c r="F145" s="4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6"/>
      <c r="B146" s="45"/>
      <c r="C146" s="1"/>
      <c r="D146" s="1"/>
      <c r="E146" s="1"/>
      <c r="F146" s="4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6"/>
      <c r="B147" s="45"/>
      <c r="C147" s="1"/>
      <c r="D147" s="1"/>
      <c r="E147" s="1"/>
      <c r="F147" s="4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6"/>
      <c r="B148" s="45"/>
      <c r="C148" s="1"/>
      <c r="D148" s="1"/>
      <c r="E148" s="1"/>
      <c r="F148" s="4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6"/>
      <c r="B149" s="45"/>
      <c r="C149" s="1"/>
      <c r="D149" s="1"/>
      <c r="E149" s="1"/>
      <c r="F149" s="4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6"/>
      <c r="B150" s="45"/>
      <c r="C150" s="1"/>
      <c r="D150" s="1"/>
      <c r="E150" s="1"/>
      <c r="F150" s="4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6"/>
      <c r="B151" s="45"/>
      <c r="C151" s="1"/>
      <c r="D151" s="1"/>
      <c r="E151" s="1"/>
      <c r="F151" s="4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6"/>
      <c r="B152" s="45"/>
      <c r="C152" s="1"/>
      <c r="D152" s="1"/>
      <c r="E152" s="1"/>
      <c r="F152" s="4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6"/>
      <c r="B153" s="45"/>
      <c r="C153" s="1"/>
      <c r="D153" s="1"/>
      <c r="E153" s="1"/>
      <c r="F153" s="4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6"/>
      <c r="B154" s="45"/>
      <c r="C154" s="1"/>
      <c r="D154" s="1"/>
      <c r="E154" s="1"/>
      <c r="F154" s="4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6"/>
      <c r="B155" s="45"/>
      <c r="C155" s="1"/>
      <c r="D155" s="1"/>
      <c r="E155" s="1"/>
      <c r="F155" s="4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6"/>
      <c r="B156" s="45"/>
      <c r="C156" s="1"/>
      <c r="D156" s="1"/>
      <c r="E156" s="1"/>
      <c r="F156" s="4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6"/>
      <c r="B157" s="45"/>
      <c r="C157" s="1"/>
      <c r="D157" s="1"/>
      <c r="E157" s="1"/>
      <c r="F157" s="4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6"/>
      <c r="B158" s="45"/>
      <c r="C158" s="1"/>
      <c r="D158" s="1"/>
      <c r="E158" s="1"/>
      <c r="F158" s="4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6"/>
      <c r="B159" s="45"/>
      <c r="C159" s="1"/>
      <c r="D159" s="1"/>
      <c r="E159" s="1"/>
      <c r="F159" s="4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6"/>
      <c r="B160" s="45"/>
      <c r="C160" s="1"/>
      <c r="D160" s="1"/>
      <c r="E160" s="1"/>
      <c r="F160" s="4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6"/>
      <c r="B161" s="45"/>
      <c r="C161" s="1"/>
      <c r="D161" s="1"/>
      <c r="E161" s="1"/>
      <c r="F161" s="4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6"/>
      <c r="B162" s="45"/>
      <c r="C162" s="1"/>
      <c r="D162" s="1"/>
      <c r="E162" s="1"/>
      <c r="F162" s="4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6"/>
      <c r="B163" s="45"/>
      <c r="C163" s="1"/>
      <c r="D163" s="1"/>
      <c r="E163" s="1"/>
      <c r="F163" s="4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6"/>
      <c r="B164" s="45"/>
      <c r="C164" s="1"/>
      <c r="D164" s="1"/>
      <c r="E164" s="1"/>
      <c r="F164" s="4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6"/>
      <c r="B165" s="45"/>
      <c r="C165" s="1"/>
      <c r="D165" s="1"/>
      <c r="E165" s="1"/>
      <c r="F165" s="4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6"/>
      <c r="B166" s="45"/>
      <c r="C166" s="1"/>
      <c r="D166" s="1"/>
      <c r="E166" s="1"/>
      <c r="F166" s="4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6"/>
      <c r="B167" s="45"/>
      <c r="C167" s="1"/>
      <c r="D167" s="1"/>
      <c r="E167" s="1"/>
      <c r="F167" s="4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6"/>
      <c r="B168" s="45"/>
      <c r="C168" s="1"/>
      <c r="D168" s="1"/>
      <c r="E168" s="1"/>
      <c r="F168" s="4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6"/>
      <c r="B169" s="45"/>
      <c r="C169" s="1"/>
      <c r="D169" s="1"/>
      <c r="E169" s="1"/>
      <c r="F169" s="4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6"/>
      <c r="B170" s="45"/>
      <c r="C170" s="1"/>
      <c r="D170" s="1"/>
      <c r="E170" s="1"/>
      <c r="F170" s="4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6"/>
      <c r="B171" s="45"/>
      <c r="C171" s="1"/>
      <c r="D171" s="1"/>
      <c r="E171" s="1"/>
      <c r="F171" s="4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6"/>
      <c r="B172" s="45"/>
      <c r="C172" s="1"/>
      <c r="D172" s="1"/>
      <c r="E172" s="1"/>
      <c r="F172" s="4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6"/>
      <c r="B173" s="45"/>
      <c r="C173" s="1"/>
      <c r="D173" s="1"/>
      <c r="E173" s="1"/>
      <c r="F173" s="4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6"/>
      <c r="B174" s="45"/>
      <c r="C174" s="1"/>
      <c r="D174" s="1"/>
      <c r="E174" s="1"/>
      <c r="F174" s="4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6"/>
      <c r="B175" s="45"/>
      <c r="C175" s="1"/>
      <c r="D175" s="1"/>
      <c r="E175" s="1"/>
      <c r="F175" s="4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6"/>
      <c r="B176" s="45"/>
      <c r="C176" s="1"/>
      <c r="D176" s="1"/>
      <c r="E176" s="1"/>
      <c r="F176" s="4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6"/>
      <c r="B177" s="45"/>
      <c r="C177" s="1"/>
      <c r="D177" s="1"/>
      <c r="E177" s="1"/>
      <c r="F177" s="4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6"/>
      <c r="B178" s="45"/>
      <c r="C178" s="1"/>
      <c r="D178" s="1"/>
      <c r="E178" s="1"/>
      <c r="F178" s="4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6"/>
      <c r="B179" s="45"/>
      <c r="C179" s="1"/>
      <c r="D179" s="1"/>
      <c r="E179" s="1"/>
      <c r="F179" s="4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6"/>
      <c r="B180" s="45"/>
      <c r="C180" s="1"/>
      <c r="D180" s="1"/>
      <c r="E180" s="1"/>
      <c r="F180" s="4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6"/>
      <c r="B181" s="45"/>
      <c r="C181" s="1"/>
      <c r="D181" s="1"/>
      <c r="E181" s="1"/>
      <c r="F181" s="4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6"/>
      <c r="B182" s="45"/>
      <c r="C182" s="1"/>
      <c r="D182" s="1"/>
      <c r="E182" s="1"/>
      <c r="F182" s="4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6"/>
      <c r="B183" s="45"/>
      <c r="C183" s="1"/>
      <c r="D183" s="1"/>
      <c r="E183" s="1"/>
      <c r="F183" s="4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6"/>
      <c r="B184" s="45"/>
      <c r="C184" s="1"/>
      <c r="D184" s="1"/>
      <c r="E184" s="1"/>
      <c r="F184" s="4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6"/>
      <c r="B185" s="45"/>
      <c r="C185" s="1"/>
      <c r="D185" s="1"/>
      <c r="E185" s="1"/>
      <c r="F185" s="4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6"/>
      <c r="B186" s="45"/>
      <c r="C186" s="1"/>
      <c r="D186" s="1"/>
      <c r="E186" s="1"/>
      <c r="F186" s="4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6"/>
      <c r="B187" s="45"/>
      <c r="C187" s="1"/>
      <c r="D187" s="1"/>
      <c r="E187" s="1"/>
      <c r="F187" s="4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6"/>
      <c r="B188" s="45"/>
      <c r="C188" s="1"/>
      <c r="D188" s="1"/>
      <c r="E188" s="1"/>
      <c r="F188" s="4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6"/>
      <c r="B189" s="45"/>
      <c r="C189" s="1"/>
      <c r="D189" s="1"/>
      <c r="E189" s="1"/>
      <c r="F189" s="4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6"/>
      <c r="B190" s="45"/>
      <c r="C190" s="1"/>
      <c r="D190" s="1"/>
      <c r="E190" s="1"/>
      <c r="F190" s="4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6"/>
      <c r="B191" s="45"/>
      <c r="C191" s="1"/>
      <c r="D191" s="1"/>
      <c r="E191" s="1"/>
      <c r="F191" s="4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6"/>
      <c r="B192" s="45"/>
      <c r="C192" s="1"/>
      <c r="D192" s="1"/>
      <c r="E192" s="1"/>
      <c r="F192" s="4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6"/>
      <c r="B193" s="45"/>
      <c r="C193" s="1"/>
      <c r="D193" s="1"/>
      <c r="E193" s="1"/>
      <c r="F193" s="4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6"/>
      <c r="B194" s="45"/>
      <c r="C194" s="1"/>
      <c r="D194" s="1"/>
      <c r="E194" s="1"/>
      <c r="F194" s="4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6"/>
      <c r="B195" s="45"/>
      <c r="C195" s="1"/>
      <c r="D195" s="1"/>
      <c r="E195" s="1"/>
      <c r="F195" s="4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6"/>
      <c r="B196" s="45"/>
      <c r="C196" s="1"/>
      <c r="D196" s="1"/>
      <c r="E196" s="1"/>
      <c r="F196" s="4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6"/>
      <c r="B197" s="45"/>
      <c r="C197" s="1"/>
      <c r="D197" s="1"/>
      <c r="E197" s="1"/>
      <c r="F197" s="4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6"/>
      <c r="B198" s="45"/>
      <c r="C198" s="1"/>
      <c r="D198" s="1"/>
      <c r="E198" s="1"/>
      <c r="F198" s="4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6"/>
      <c r="B199" s="45"/>
      <c r="C199" s="1"/>
      <c r="D199" s="1"/>
      <c r="E199" s="1"/>
      <c r="F199" s="4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6"/>
      <c r="B200" s="45"/>
      <c r="C200" s="1"/>
      <c r="D200" s="1"/>
      <c r="E200" s="1"/>
      <c r="F200" s="4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6"/>
      <c r="B201" s="45"/>
      <c r="C201" s="1"/>
      <c r="D201" s="1"/>
      <c r="E201" s="1"/>
      <c r="F201" s="4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6"/>
      <c r="B202" s="45"/>
      <c r="C202" s="1"/>
      <c r="D202" s="1"/>
      <c r="E202" s="1"/>
      <c r="F202" s="4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6"/>
      <c r="B203" s="45"/>
      <c r="C203" s="1"/>
      <c r="D203" s="1"/>
      <c r="E203" s="1"/>
      <c r="F203" s="4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6"/>
      <c r="B204" s="45"/>
      <c r="C204" s="1"/>
      <c r="D204" s="1"/>
      <c r="E204" s="1"/>
      <c r="F204" s="4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6"/>
      <c r="B205" s="45"/>
      <c r="C205" s="1"/>
      <c r="D205" s="1"/>
      <c r="E205" s="1"/>
      <c r="F205" s="4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6"/>
      <c r="B206" s="45"/>
      <c r="C206" s="1"/>
      <c r="D206" s="1"/>
      <c r="E206" s="1"/>
      <c r="F206" s="4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6"/>
      <c r="B207" s="45"/>
      <c r="C207" s="1"/>
      <c r="D207" s="1"/>
      <c r="E207" s="1"/>
      <c r="F207" s="4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6"/>
      <c r="B208" s="45"/>
      <c r="C208" s="1"/>
      <c r="D208" s="1"/>
      <c r="E208" s="1"/>
      <c r="F208" s="4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6"/>
      <c r="B209" s="45"/>
      <c r="C209" s="1"/>
      <c r="D209" s="1"/>
      <c r="E209" s="1"/>
      <c r="F209" s="4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6"/>
      <c r="B210" s="45"/>
      <c r="C210" s="1"/>
      <c r="D210" s="1"/>
      <c r="E210" s="1"/>
      <c r="F210" s="4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6"/>
      <c r="B211" s="45"/>
      <c r="C211" s="1"/>
      <c r="D211" s="1"/>
      <c r="E211" s="1"/>
      <c r="F211" s="4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6"/>
      <c r="B212" s="45"/>
      <c r="C212" s="1"/>
      <c r="D212" s="1"/>
      <c r="E212" s="1"/>
      <c r="F212" s="4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6"/>
      <c r="B213" s="45"/>
      <c r="C213" s="1"/>
      <c r="D213" s="1"/>
      <c r="E213" s="1"/>
      <c r="F213" s="4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6"/>
      <c r="B214" s="45"/>
      <c r="C214" s="1"/>
      <c r="D214" s="1"/>
      <c r="E214" s="1"/>
      <c r="F214" s="4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6"/>
      <c r="B215" s="45"/>
      <c r="C215" s="1"/>
      <c r="D215" s="1"/>
      <c r="E215" s="1"/>
      <c r="F215" s="4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6"/>
      <c r="B216" s="45"/>
      <c r="C216" s="1"/>
      <c r="D216" s="1"/>
      <c r="E216" s="1"/>
      <c r="F216" s="4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6"/>
      <c r="B217" s="45"/>
      <c r="C217" s="1"/>
      <c r="D217" s="1"/>
      <c r="E217" s="1"/>
      <c r="F217" s="4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6"/>
      <c r="B218" s="45"/>
      <c r="C218" s="1"/>
      <c r="D218" s="1"/>
      <c r="E218" s="1"/>
      <c r="F218" s="4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6"/>
      <c r="B219" s="45"/>
      <c r="C219" s="1"/>
      <c r="D219" s="1"/>
      <c r="E219" s="1"/>
      <c r="F219" s="4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6"/>
      <c r="B220" s="45"/>
      <c r="C220" s="1"/>
      <c r="D220" s="1"/>
      <c r="E220" s="1"/>
      <c r="F220" s="4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6"/>
      <c r="B221" s="45"/>
      <c r="C221" s="1"/>
      <c r="D221" s="1"/>
      <c r="E221" s="1"/>
      <c r="F221" s="4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6"/>
      <c r="B222" s="45"/>
      <c r="C222" s="1"/>
      <c r="D222" s="1"/>
      <c r="E222" s="1"/>
      <c r="F222" s="4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6"/>
      <c r="B223" s="45"/>
      <c r="C223" s="1"/>
      <c r="D223" s="1"/>
      <c r="E223" s="1"/>
      <c r="F223" s="4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6"/>
      <c r="B224" s="45"/>
      <c r="C224" s="1"/>
      <c r="D224" s="1"/>
      <c r="E224" s="1"/>
      <c r="F224" s="4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6"/>
      <c r="B225" s="45"/>
      <c r="C225" s="1"/>
      <c r="D225" s="1"/>
      <c r="E225" s="1"/>
      <c r="F225" s="4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6"/>
      <c r="B226" s="45"/>
      <c r="C226" s="1"/>
      <c r="D226" s="1"/>
      <c r="E226" s="1"/>
      <c r="F226" s="4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6"/>
      <c r="B227" s="45"/>
      <c r="C227" s="1"/>
      <c r="D227" s="1"/>
      <c r="E227" s="1"/>
      <c r="F227" s="4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6"/>
      <c r="B228" s="45"/>
      <c r="C228" s="1"/>
      <c r="D228" s="1"/>
      <c r="E228" s="1"/>
      <c r="F228" s="4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6"/>
      <c r="B229" s="45"/>
      <c r="C229" s="1"/>
      <c r="D229" s="1"/>
      <c r="E229" s="1"/>
      <c r="F229" s="4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6"/>
      <c r="B230" s="45"/>
      <c r="C230" s="1"/>
      <c r="D230" s="1"/>
      <c r="E230" s="1"/>
      <c r="F230" s="4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6"/>
      <c r="B231" s="45"/>
      <c r="C231" s="1"/>
      <c r="D231" s="1"/>
      <c r="E231" s="1"/>
      <c r="F231" s="4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6"/>
      <c r="B232" s="45"/>
      <c r="C232" s="1"/>
      <c r="D232" s="1"/>
      <c r="E232" s="1"/>
      <c r="F232" s="4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6"/>
      <c r="B233" s="45"/>
      <c r="C233" s="1"/>
      <c r="D233" s="1"/>
      <c r="E233" s="1"/>
      <c r="F233" s="4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6"/>
      <c r="B234" s="45"/>
      <c r="C234" s="1"/>
      <c r="D234" s="1"/>
      <c r="E234" s="1"/>
      <c r="F234" s="4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7"/>
      <c r="B235" s="48"/>
      <c r="F235" s="48"/>
      <c r="CT235" s="49"/>
      <c r="CU235" s="49"/>
      <c r="CV235" s="49"/>
      <c r="CW235" s="49"/>
    </row>
    <row r="236" spans="1:127" ht="15.75" customHeight="1">
      <c r="A236" s="47"/>
      <c r="B236" s="48"/>
      <c r="F236" s="48"/>
      <c r="CT236" s="49"/>
      <c r="CU236" s="49"/>
      <c r="CV236" s="49"/>
      <c r="CW236" s="49"/>
    </row>
    <row r="237" spans="1:127" ht="15.75" customHeight="1">
      <c r="A237" s="47"/>
      <c r="B237" s="48"/>
      <c r="F237" s="48"/>
      <c r="CT237" s="49"/>
      <c r="CU237" s="49"/>
      <c r="CV237" s="49"/>
      <c r="CW237" s="49"/>
    </row>
    <row r="238" spans="1:127" ht="15.75" customHeight="1">
      <c r="A238" s="47"/>
      <c r="B238" s="48"/>
      <c r="F238" s="48"/>
      <c r="CT238" s="49"/>
      <c r="CU238" s="49"/>
      <c r="CV238" s="49"/>
      <c r="CW238" s="49"/>
    </row>
    <row r="239" spans="1:127" ht="15.75" customHeight="1">
      <c r="A239" s="47"/>
      <c r="B239" s="48"/>
      <c r="F239" s="48"/>
      <c r="CT239" s="49"/>
      <c r="CU239" s="49"/>
      <c r="CV239" s="49"/>
      <c r="CW239" s="49"/>
    </row>
    <row r="240" spans="1:127" ht="15.75" customHeight="1">
      <c r="A240" s="47"/>
      <c r="B240" s="48"/>
      <c r="F240" s="48"/>
      <c r="CT240" s="49"/>
      <c r="CU240" s="49"/>
      <c r="CV240" s="49"/>
      <c r="CW240" s="49"/>
    </row>
    <row r="241" spans="1:101" ht="15.75" customHeight="1">
      <c r="A241" s="47"/>
      <c r="B241" s="48"/>
      <c r="F241" s="48"/>
      <c r="CT241" s="49"/>
      <c r="CU241" s="49"/>
      <c r="CV241" s="49"/>
      <c r="CW241" s="49"/>
    </row>
  </sheetData>
  <autoFilter ref="A8:DW41" xr:uid="{00000000-0009-0000-0000-000000000000}"/>
  <mergeCells count="80">
    <mergeCell ref="A6:C6"/>
    <mergeCell ref="G6:O7"/>
    <mergeCell ref="A7:C7"/>
    <mergeCell ref="G34:M34"/>
    <mergeCell ref="N34:O34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38:M38"/>
    <mergeCell ref="N38:O38"/>
    <mergeCell ref="T2:W2"/>
    <mergeCell ref="X2:AA2"/>
    <mergeCell ref="T3:W3"/>
    <mergeCell ref="X3:AA3"/>
    <mergeCell ref="N35:O35"/>
    <mergeCell ref="G35:M35"/>
    <mergeCell ref="G36:M36"/>
    <mergeCell ref="N36:O36"/>
    <mergeCell ref="G37:M37"/>
    <mergeCell ref="N37:O37"/>
    <mergeCell ref="G2:O2"/>
    <mergeCell ref="P2:S2"/>
    <mergeCell ref="G39:M39"/>
    <mergeCell ref="N39:O39"/>
    <mergeCell ref="G40:M40"/>
    <mergeCell ref="N40:O40"/>
    <mergeCell ref="G41:M41"/>
    <mergeCell ref="N41:O41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33">
    <cfRule type="containsText" dxfId="78" priority="1" operator="containsText" text="RETIRADO">
      <formula>NOT(ISERROR(SEARCH(("RETIRADO"),(E9))))</formula>
    </cfRule>
  </conditionalFormatting>
  <conditionalFormatting sqref="E9:E33">
    <cfRule type="containsText" dxfId="77" priority="2" operator="containsText" text="EN FORMACIÓN">
      <formula>NOT(ISERROR(SEARCH(("EN FORMACIÓN"),(E9))))</formula>
    </cfRule>
  </conditionalFormatting>
  <conditionalFormatting sqref="F9:F33">
    <cfRule type="cellIs" dxfId="76" priority="3" operator="equal">
      <formula>"REVISAR FALTAS"</formula>
    </cfRule>
  </conditionalFormatting>
  <conditionalFormatting sqref="F9:F33">
    <cfRule type="cellIs" dxfId="75" priority="4" operator="equal">
      <formula>"CON FALTAS"</formula>
    </cfRule>
  </conditionalFormatting>
  <conditionalFormatting sqref="F9:F33">
    <cfRule type="cellIs" dxfId="74" priority="5" operator="equal">
      <formula>"FALTAS INTERMITENTES"</formula>
    </cfRule>
  </conditionalFormatting>
  <conditionalFormatting sqref="G8:N8 P9:CW33">
    <cfRule type="cellIs" dxfId="73" priority="6" operator="equal">
      <formula>"RET"</formula>
    </cfRule>
  </conditionalFormatting>
  <conditionalFormatting sqref="G8:N8 P9:CW33">
    <cfRule type="cellIs" dxfId="72" priority="7" operator="equal">
      <formula>"SFF"</formula>
    </cfRule>
  </conditionalFormatting>
  <conditionalFormatting sqref="G8:N8 P9:CW33">
    <cfRule type="cellIs" dxfId="71" priority="8" operator="equal">
      <formula>"CLM"</formula>
    </cfRule>
  </conditionalFormatting>
  <conditionalFormatting sqref="G8:N8">
    <cfRule type="cellIs" dxfId="70" priority="9" operator="equal">
      <formula>"LIC"</formula>
    </cfRule>
  </conditionalFormatting>
  <conditionalFormatting sqref="G8:N8 P9:CW33">
    <cfRule type="cellIs" dxfId="69" priority="10" operator="equal">
      <formula>"INC"</formula>
    </cfRule>
  </conditionalFormatting>
  <conditionalFormatting sqref="G8:N8 P9:CW33">
    <cfRule type="cellIs" dxfId="68" priority="11" operator="equal">
      <formula>"SE"</formula>
    </cfRule>
  </conditionalFormatting>
  <conditionalFormatting sqref="G8:N8 P9:CW33">
    <cfRule type="cellIs" dxfId="67" priority="12" operator="equal">
      <formula>"CE"</formula>
    </cfRule>
  </conditionalFormatting>
  <conditionalFormatting sqref="G8:N8 P9:CW33">
    <cfRule type="cellIs" dxfId="66" priority="13" operator="equal">
      <formula>"A"</formula>
    </cfRule>
  </conditionalFormatting>
  <conditionalFormatting sqref="P34:CW41 G9:O33">
    <cfRule type="cellIs" dxfId="65" priority="14" operator="equal">
      <formula>0</formula>
    </cfRule>
  </conditionalFormatting>
  <conditionalFormatting sqref="N34:O41">
    <cfRule type="cellIs" dxfId="64" priority="15" operator="equal">
      <formula>"RET"</formula>
    </cfRule>
  </conditionalFormatting>
  <conditionalFormatting sqref="N34:O41">
    <cfRule type="cellIs" dxfId="63" priority="16" operator="equal">
      <formula>"SFF"</formula>
    </cfRule>
  </conditionalFormatting>
  <conditionalFormatting sqref="N34:O41">
    <cfRule type="cellIs" dxfId="62" priority="17" operator="equal">
      <formula>"CLM"</formula>
    </cfRule>
  </conditionalFormatting>
  <conditionalFormatting sqref="N34:O41">
    <cfRule type="cellIs" dxfId="61" priority="18" operator="equal">
      <formula>"LIC"</formula>
    </cfRule>
  </conditionalFormatting>
  <conditionalFormatting sqref="N34:O41">
    <cfRule type="cellIs" dxfId="60" priority="19" operator="equal">
      <formula>"INC"</formula>
    </cfRule>
  </conditionalFormatting>
  <conditionalFormatting sqref="N34:O41">
    <cfRule type="cellIs" dxfId="59" priority="20" operator="equal">
      <formula>"SE"</formula>
    </cfRule>
  </conditionalFormatting>
  <conditionalFormatting sqref="N34:O41">
    <cfRule type="cellIs" dxfId="58" priority="21" operator="equal">
      <formula>"CE"</formula>
    </cfRule>
  </conditionalFormatting>
  <conditionalFormatting sqref="N34:O41">
    <cfRule type="cellIs" dxfId="57" priority="22" operator="equal">
      <formula>"A"</formula>
    </cfRule>
  </conditionalFormatting>
  <conditionalFormatting sqref="O9:O33">
    <cfRule type="cellIs" dxfId="56" priority="23" operator="greaterThan">
      <formula>0.4</formula>
    </cfRule>
  </conditionalFormatting>
  <conditionalFormatting sqref="O9:O33">
    <cfRule type="cellIs" dxfId="55" priority="24" operator="between">
      <formula>0.21</formula>
      <formula>0.4</formula>
    </cfRule>
  </conditionalFormatting>
  <conditionalFormatting sqref="O9:O33">
    <cfRule type="cellIs" dxfId="54" priority="25" operator="between">
      <formula>0</formula>
      <formula>0.2</formula>
    </cfRule>
  </conditionalFormatting>
  <conditionalFormatting sqref="P6:CW6">
    <cfRule type="containsText" dxfId="53" priority="26" operator="containsText" text="dic">
      <formula>NOT(ISERROR(SEARCH(("dic"),(P6))))</formula>
    </cfRule>
  </conditionalFormatting>
  <conditionalFormatting sqref="P6:CW6">
    <cfRule type="containsText" dxfId="52" priority="27" operator="containsText" text="oct">
      <formula>NOT(ISERROR(SEARCH(("oct"),(P6))))</formula>
    </cfRule>
  </conditionalFormatting>
  <conditionalFormatting sqref="P6:CW6">
    <cfRule type="containsText" dxfId="51" priority="28" operator="containsText" text="ago">
      <formula>NOT(ISERROR(SEARCH(("ago"),(P6))))</formula>
    </cfRule>
  </conditionalFormatting>
  <conditionalFormatting sqref="P6:CW6">
    <cfRule type="containsText" dxfId="50" priority="29" operator="containsText" text="jun">
      <formula>NOT(ISERROR(SEARCH(("jun"),(P6))))</formula>
    </cfRule>
  </conditionalFormatting>
  <conditionalFormatting sqref="P6:CW6">
    <cfRule type="containsText" dxfId="49" priority="30" operator="containsText" text="abr">
      <formula>NOT(ISERROR(SEARCH(("abr"),(P6))))</formula>
    </cfRule>
  </conditionalFormatting>
  <conditionalFormatting sqref="P6:CW6">
    <cfRule type="containsText" dxfId="48" priority="31" operator="containsText" text="feb">
      <formula>NOT(ISERROR(SEARCH(("feb"),(P6))))</formula>
    </cfRule>
  </conditionalFormatting>
  <conditionalFormatting sqref="P6:CW6">
    <cfRule type="containsText" dxfId="47" priority="32" operator="containsText" text="jul">
      <formula>NOT(ISERROR(SEARCH(("jul"),(P6))))</formula>
    </cfRule>
  </conditionalFormatting>
  <conditionalFormatting sqref="P6:CW6">
    <cfRule type="containsText" dxfId="46" priority="33" operator="containsText" text="nov">
      <formula>NOT(ISERROR(SEARCH(("nov"),(P6))))</formula>
    </cfRule>
  </conditionalFormatting>
  <conditionalFormatting sqref="P6:CW6">
    <cfRule type="containsText" dxfId="45" priority="34" operator="containsText" text="sep">
      <formula>NOT(ISERROR(SEARCH(("sep"),(P6))))</formula>
    </cfRule>
  </conditionalFormatting>
  <conditionalFormatting sqref="P6:CW6">
    <cfRule type="containsText" dxfId="44" priority="35" operator="containsText" text="may">
      <formula>NOT(ISERROR(SEARCH(("may"),(P6))))</formula>
    </cfRule>
  </conditionalFormatting>
  <conditionalFormatting sqref="P6:CW6">
    <cfRule type="containsText" dxfId="43" priority="36" operator="containsText" text="mar">
      <formula>NOT(ISERROR(SEARCH(("mar"),(P6))))</formula>
    </cfRule>
  </conditionalFormatting>
  <conditionalFormatting sqref="P6:CW6">
    <cfRule type="containsText" dxfId="42" priority="37" operator="containsText" text="ene">
      <formula>NOT(ISERROR(SEARCH(("ene"),(P6))))</formula>
    </cfRule>
  </conditionalFormatting>
  <conditionalFormatting sqref="P8:CW8">
    <cfRule type="cellIs" dxfId="41" priority="38" operator="equal">
      <formula>"Fest"</formula>
    </cfRule>
  </conditionalFormatting>
  <conditionalFormatting sqref="P8:CW8">
    <cfRule type="cellIs" dxfId="40" priority="39" operator="equal">
      <formula>"Rec"</formula>
    </cfRule>
  </conditionalFormatting>
  <conditionalFormatting sqref="P8:CW8">
    <cfRule type="cellIs" dxfId="39" priority="40" operator="equal">
      <formula>"S.S."</formula>
    </cfRule>
  </conditionalFormatting>
  <conditionalFormatting sqref="P9:CW33">
    <cfRule type="cellIs" dxfId="38" priority="44" operator="equal">
      <formula>"LIC"</formula>
    </cfRule>
  </conditionalFormatting>
  <conditionalFormatting sqref="CX7 CZ7 DB7 DD7 DF7 DH7 DJ7 DL7 DN7 DP7 DR7 DT7">
    <cfRule type="containsText" dxfId="37" priority="49" operator="containsText" text="dic">
      <formula>NOT(ISERROR(SEARCH(("dic"),(CX7))))</formula>
    </cfRule>
  </conditionalFormatting>
  <conditionalFormatting sqref="CX7 CZ7 DB7 DD7 DF7 DH7 DJ7 DL7 DN7 DP7 DR7 DT7">
    <cfRule type="containsText" dxfId="36" priority="50" operator="containsText" text="oct">
      <formula>NOT(ISERROR(SEARCH(("oct"),(CX7))))</formula>
    </cfRule>
  </conditionalFormatting>
  <conditionalFormatting sqref="CX7 CZ7 DB7 DD7 DF7 DH7 DJ7 DL7 DN7 DP7 DR7 DT7">
    <cfRule type="containsText" dxfId="35" priority="51" operator="containsText" text="ago">
      <formula>NOT(ISERROR(SEARCH(("ago"),(CX7))))</formula>
    </cfRule>
  </conditionalFormatting>
  <conditionalFormatting sqref="CX7 CZ7 DB7 DD7 DF7 DH7 DJ7 DL7 DN7 DP7 DR7 DT7">
    <cfRule type="containsText" dxfId="34" priority="52" operator="containsText" text="jun">
      <formula>NOT(ISERROR(SEARCH(("jun"),(CX7))))</formula>
    </cfRule>
  </conditionalFormatting>
  <conditionalFormatting sqref="CX7 CZ7 DB7 DD7 DF7 DH7 DJ7 DL7 DN7 DP7 DR7 DT7">
    <cfRule type="containsText" dxfId="33" priority="53" operator="containsText" text="abr">
      <formula>NOT(ISERROR(SEARCH(("abr"),(CX7))))</formula>
    </cfRule>
  </conditionalFormatting>
  <conditionalFormatting sqref="CX7 CZ7 DB7 DD7 DF7 DH7 DJ7 DL7 DN7 DP7 DR7 DT7">
    <cfRule type="containsText" dxfId="32" priority="54" operator="containsText" text="feb">
      <formula>NOT(ISERROR(SEARCH(("feb"),(CX7))))</formula>
    </cfRule>
  </conditionalFormatting>
  <conditionalFormatting sqref="CX7 CZ7 DB7 DD7 DF7 DH7 DJ7 DL7 DN7 DP7 DR7 DT7">
    <cfRule type="containsText" dxfId="31" priority="55" operator="containsText" text="jul">
      <formula>NOT(ISERROR(SEARCH(("jul"),(CX7))))</formula>
    </cfRule>
  </conditionalFormatting>
  <conditionalFormatting sqref="CX7 CZ7 DB7 DD7 DF7 DH7 DJ7 DL7 DN7 DP7 DR7 DT7">
    <cfRule type="containsText" dxfId="30" priority="56" operator="containsText" text="nov">
      <formula>NOT(ISERROR(SEARCH(("nov"),(CX7))))</formula>
    </cfRule>
  </conditionalFormatting>
  <conditionalFormatting sqref="CX7 CZ7 DB7 DD7 DF7 DH7 DJ7 DL7 DN7 DP7 DR7 DT7">
    <cfRule type="containsText" dxfId="29" priority="57" operator="containsText" text="sep">
      <formula>NOT(ISERROR(SEARCH(("sep"),(CX7))))</formula>
    </cfRule>
  </conditionalFormatting>
  <conditionalFormatting sqref="CX7 CZ7 DB7 DD7 DF7 DH7 DJ7 DL7 DN7 DP7 DR7 DT7">
    <cfRule type="containsText" dxfId="28" priority="58" operator="containsText" text="may">
      <formula>NOT(ISERROR(SEARCH(("may"),(CX7))))</formula>
    </cfRule>
  </conditionalFormatting>
  <conditionalFormatting sqref="CX7 CZ7 DB7 DD7 DF7 DH7 DJ7 DL7 DN7 DP7 DR7 DT7">
    <cfRule type="containsText" dxfId="27" priority="59" operator="containsText" text="mar">
      <formula>NOT(ISERROR(SEARCH(("mar"),(CX7))))</formula>
    </cfRule>
  </conditionalFormatting>
  <conditionalFormatting sqref="CX7 CZ7 DB7 DD7 DF7 DH7 DJ7 DL7 DN7 DP7 DR7 DT7">
    <cfRule type="containsText" dxfId="26" priority="60" operator="containsText" text="ene">
      <formula>NOT(ISERROR(SEARCH(("ene"),(CX7))))</formula>
    </cfRule>
  </conditionalFormatting>
  <conditionalFormatting sqref="CX8:DU8">
    <cfRule type="cellIs" dxfId="25" priority="61" operator="equal">
      <formula>"INC"</formula>
    </cfRule>
  </conditionalFormatting>
  <conditionalFormatting sqref="CX8:DU8">
    <cfRule type="cellIs" dxfId="24" priority="62" operator="equal">
      <formula>"CNC"</formula>
    </cfRule>
  </conditionalFormatting>
  <conditionalFormatting sqref="CX8:DU8">
    <cfRule type="cellIs" dxfId="23" priority="63" operator="equal">
      <formula>"SE"</formula>
    </cfRule>
  </conditionalFormatting>
  <conditionalFormatting sqref="CX8:DU8">
    <cfRule type="cellIs" dxfId="22" priority="64" operator="equal">
      <formula>"CE"</formula>
    </cfRule>
  </conditionalFormatting>
  <conditionalFormatting sqref="CX8:DU8">
    <cfRule type="cellIs" dxfId="21" priority="65" operator="equal">
      <formula>"A"</formula>
    </cfRule>
  </conditionalFormatting>
  <conditionalFormatting sqref="CX9:DW41">
    <cfRule type="cellIs" dxfId="20" priority="66" operator="equal">
      <formula>0</formula>
    </cfRule>
  </conditionalFormatting>
  <conditionalFormatting sqref="CY4 DJ4">
    <cfRule type="cellIs" dxfId="19" priority="67" operator="equal">
      <formula>"A"</formula>
    </cfRule>
  </conditionalFormatting>
  <conditionalFormatting sqref="CY4 DJ4">
    <cfRule type="cellIs" dxfId="18" priority="68" operator="equal">
      <formula>"INC"</formula>
    </cfRule>
  </conditionalFormatting>
  <conditionalFormatting sqref="CY4 DJ4">
    <cfRule type="cellIs" dxfId="17" priority="69" operator="equal">
      <formula>"CNC"</formula>
    </cfRule>
  </conditionalFormatting>
  <conditionalFormatting sqref="CY4 DJ4">
    <cfRule type="cellIs" dxfId="16" priority="70" operator="equal">
      <formula>"SE"</formula>
    </cfRule>
  </conditionalFormatting>
  <conditionalFormatting sqref="CY4 DJ4">
    <cfRule type="cellIs" dxfId="15" priority="71" operator="equal">
      <formula>"CE"</formula>
    </cfRule>
  </conditionalFormatting>
  <conditionalFormatting sqref="DV8:DW8">
    <cfRule type="cellIs" dxfId="14" priority="72" operator="equal">
      <formula>0</formula>
    </cfRule>
  </conditionalFormatting>
  <dataValidations count="3">
    <dataValidation type="list" allowBlank="1" showErrorMessage="1" sqref="CX8:DU8 P9:CW33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3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opLeftCell="C5" zoomScaleNormal="100" workbookViewId="0">
      <selection activeCell="F13" sqref="F13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3.8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80.375" customWidth="1"/>
    <col min="12" max="26" width="12.625" customWidth="1"/>
  </cols>
  <sheetData>
    <row r="1" spans="1:26" ht="14.25" customHeight="1">
      <c r="A1" s="204">
        <v>0</v>
      </c>
      <c r="B1" s="144"/>
      <c r="C1" s="144"/>
      <c r="D1" s="144"/>
      <c r="E1" s="144"/>
      <c r="F1" s="144"/>
      <c r="G1" s="144"/>
      <c r="H1" s="144"/>
      <c r="I1" s="144"/>
      <c r="J1" s="130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ht="15.75">
      <c r="A2" s="144"/>
      <c r="B2" s="144"/>
      <c r="C2" s="144"/>
      <c r="D2" s="144"/>
      <c r="E2" s="144"/>
      <c r="F2" s="144"/>
      <c r="G2" s="144"/>
      <c r="H2" s="144"/>
      <c r="I2" s="144"/>
      <c r="J2" s="130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spans="1:26" ht="15.75">
      <c r="A3" s="198" t="s">
        <v>5</v>
      </c>
      <c r="B3" s="174"/>
      <c r="C3" s="205" t="s">
        <v>48</v>
      </c>
      <c r="D3" s="124"/>
      <c r="E3" s="174"/>
      <c r="F3" s="50"/>
      <c r="G3" s="50"/>
      <c r="H3" s="51"/>
      <c r="I3" s="51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spans="1:26" ht="15.75">
      <c r="A4" s="198" t="s">
        <v>14</v>
      </c>
      <c r="B4" s="174"/>
      <c r="C4" s="206">
        <v>3414936</v>
      </c>
      <c r="D4" s="124"/>
      <c r="E4" s="174"/>
      <c r="F4" s="52" t="s">
        <v>65</v>
      </c>
      <c r="G4" s="53">
        <v>2</v>
      </c>
      <c r="H4" s="51" t="s">
        <v>66</v>
      </c>
      <c r="I4" s="51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spans="1:26" ht="15.75">
      <c r="A5" s="198" t="s">
        <v>7</v>
      </c>
      <c r="B5" s="174"/>
      <c r="C5" s="203" t="s">
        <v>89</v>
      </c>
      <c r="D5" s="124"/>
      <c r="E5" s="174"/>
      <c r="F5" s="52" t="s">
        <v>67</v>
      </c>
      <c r="G5" s="54">
        <v>46084</v>
      </c>
      <c r="H5" s="51"/>
      <c r="I5" s="51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 ht="15.75">
      <c r="A6" s="198" t="s">
        <v>68</v>
      </c>
      <c r="B6" s="174"/>
      <c r="C6" s="199" t="s">
        <v>90</v>
      </c>
      <c r="D6" s="124"/>
      <c r="E6" s="174"/>
      <c r="F6" s="52" t="s">
        <v>69</v>
      </c>
      <c r="G6" s="55">
        <v>46086</v>
      </c>
      <c r="H6" s="51"/>
      <c r="I6" s="51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ht="15.75">
      <c r="A7" s="198" t="s">
        <v>13</v>
      </c>
      <c r="B7" s="174"/>
      <c r="C7" s="200" t="s">
        <v>91</v>
      </c>
      <c r="D7" s="124"/>
      <c r="E7" s="174"/>
      <c r="F7" s="56" t="s">
        <v>70</v>
      </c>
      <c r="G7" s="57">
        <v>10</v>
      </c>
      <c r="H7" s="51"/>
      <c r="I7" s="51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6" ht="15.75">
      <c r="A8" s="201" t="s">
        <v>71</v>
      </c>
      <c r="B8" s="174"/>
      <c r="C8" s="202" t="s">
        <v>92</v>
      </c>
      <c r="D8" s="124"/>
      <c r="E8" s="124"/>
      <c r="F8" s="124"/>
      <c r="G8" s="174"/>
      <c r="H8" s="51"/>
      <c r="I8" s="51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spans="1:26" ht="22.5" customHeight="1">
      <c r="A9" s="58" t="s">
        <v>32</v>
      </c>
      <c r="B9" s="59" t="s">
        <v>277</v>
      </c>
      <c r="C9" s="59" t="s">
        <v>280</v>
      </c>
      <c r="D9" s="59" t="s">
        <v>72</v>
      </c>
      <c r="E9" s="59" t="s">
        <v>73</v>
      </c>
      <c r="F9" s="59" t="s">
        <v>74</v>
      </c>
      <c r="G9" s="59" t="s">
        <v>75</v>
      </c>
      <c r="H9" s="59" t="s">
        <v>76</v>
      </c>
      <c r="I9" s="59" t="s">
        <v>279</v>
      </c>
      <c r="J9" s="59" t="s">
        <v>77</v>
      </c>
      <c r="K9" s="59" t="s">
        <v>278</v>
      </c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 ht="15.75" customHeight="1">
      <c r="A10" s="86">
        <v>1</v>
      </c>
      <c r="B10" s="108" t="s">
        <v>126</v>
      </c>
      <c r="C10" s="86" t="s">
        <v>93</v>
      </c>
      <c r="D10" s="88" t="s">
        <v>140</v>
      </c>
      <c r="E10" s="91"/>
      <c r="F10" s="114" t="s">
        <v>94</v>
      </c>
      <c r="G10" s="92">
        <v>3008580021</v>
      </c>
      <c r="H10" s="88" t="s">
        <v>159</v>
      </c>
      <c r="I10" s="88" t="s">
        <v>95</v>
      </c>
      <c r="J10" s="88">
        <v>3244542230</v>
      </c>
      <c r="K10" s="96" t="s">
        <v>96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ht="15.75" customHeight="1">
      <c r="A11" s="86">
        <f t="shared" ref="A11:A45" si="0">A10+1</f>
        <v>2</v>
      </c>
      <c r="B11" s="109" t="s">
        <v>127</v>
      </c>
      <c r="C11" s="86" t="s">
        <v>97</v>
      </c>
      <c r="D11" s="88">
        <v>1311227</v>
      </c>
      <c r="E11" s="93"/>
      <c r="F11" s="114" t="s">
        <v>98</v>
      </c>
      <c r="G11" s="92">
        <v>3027274748</v>
      </c>
      <c r="H11" s="88" t="s">
        <v>99</v>
      </c>
      <c r="I11" s="88" t="s">
        <v>100</v>
      </c>
      <c r="J11" s="88">
        <v>3224603480</v>
      </c>
      <c r="K11" s="96" t="s">
        <v>101</v>
      </c>
      <c r="M11" s="49" t="s">
        <v>281</v>
      </c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spans="1:26" ht="15.75" customHeight="1">
      <c r="A12" s="86">
        <f t="shared" si="0"/>
        <v>3</v>
      </c>
      <c r="B12" s="108" t="s">
        <v>118</v>
      </c>
      <c r="C12" s="86" t="s">
        <v>93</v>
      </c>
      <c r="D12" s="88">
        <v>1030588216</v>
      </c>
      <c r="E12" s="93"/>
      <c r="F12" s="114" t="s">
        <v>292</v>
      </c>
      <c r="G12" s="92">
        <v>3102219339</v>
      </c>
      <c r="H12" s="88" t="s">
        <v>160</v>
      </c>
      <c r="I12" s="88" t="s">
        <v>103</v>
      </c>
      <c r="J12" s="88">
        <v>3102219339</v>
      </c>
      <c r="K12" s="96" t="s">
        <v>104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 ht="15.75" customHeight="1">
      <c r="A13" s="86">
        <f t="shared" si="0"/>
        <v>4</v>
      </c>
      <c r="B13" s="109" t="s">
        <v>128</v>
      </c>
      <c r="C13" s="86" t="s">
        <v>93</v>
      </c>
      <c r="D13" s="88">
        <v>1020849003</v>
      </c>
      <c r="E13" s="94"/>
      <c r="F13" s="114" t="s">
        <v>293</v>
      </c>
      <c r="G13" s="92" t="s">
        <v>157</v>
      </c>
      <c r="H13" s="88" t="s">
        <v>161</v>
      </c>
      <c r="I13" s="88" t="s">
        <v>162</v>
      </c>
      <c r="J13" s="88" t="s">
        <v>163</v>
      </c>
      <c r="K13" s="96" t="s">
        <v>164</v>
      </c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spans="1:26" ht="15.75" customHeight="1">
      <c r="A14" s="86">
        <f t="shared" si="0"/>
        <v>5</v>
      </c>
      <c r="B14" s="108" t="s">
        <v>119</v>
      </c>
      <c r="C14" s="86" t="s">
        <v>93</v>
      </c>
      <c r="D14" s="88">
        <v>1062399726</v>
      </c>
      <c r="E14" s="93"/>
      <c r="F14" s="114" t="s">
        <v>105</v>
      </c>
      <c r="G14" s="92">
        <v>3004871248</v>
      </c>
      <c r="H14" s="88" t="s">
        <v>165</v>
      </c>
      <c r="I14" s="88" t="s">
        <v>106</v>
      </c>
      <c r="J14" s="88">
        <v>3114173386</v>
      </c>
      <c r="K14" s="96" t="s">
        <v>107</v>
      </c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ht="17.25" customHeight="1">
      <c r="A15" s="86">
        <f t="shared" si="0"/>
        <v>6</v>
      </c>
      <c r="B15" s="109" t="s">
        <v>129</v>
      </c>
      <c r="C15" s="86" t="s">
        <v>97</v>
      </c>
      <c r="D15" s="88">
        <v>6082792</v>
      </c>
      <c r="E15" s="93"/>
      <c r="F15" s="114" t="s">
        <v>108</v>
      </c>
      <c r="G15" s="92" t="s">
        <v>109</v>
      </c>
      <c r="H15" s="88" t="s">
        <v>166</v>
      </c>
      <c r="I15" s="88" t="s">
        <v>110</v>
      </c>
      <c r="J15" s="88" t="s">
        <v>111</v>
      </c>
      <c r="K15" s="96" t="s">
        <v>112</v>
      </c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spans="1:26" ht="15.75" customHeight="1">
      <c r="A16" s="86">
        <f t="shared" si="0"/>
        <v>7</v>
      </c>
      <c r="B16" s="109" t="s">
        <v>130</v>
      </c>
      <c r="C16" s="86" t="s">
        <v>93</v>
      </c>
      <c r="D16" s="88">
        <v>1028945029</v>
      </c>
      <c r="E16" s="93"/>
      <c r="F16" s="114" t="s">
        <v>142</v>
      </c>
      <c r="G16" s="92">
        <v>3207242180</v>
      </c>
      <c r="H16" s="88" t="s">
        <v>167</v>
      </c>
      <c r="I16" s="88" t="s">
        <v>168</v>
      </c>
      <c r="J16" s="88">
        <v>3132908824</v>
      </c>
      <c r="K16" s="96" t="s">
        <v>169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spans="1:26" ht="15.75" customHeight="1">
      <c r="A17" s="86">
        <f t="shared" si="0"/>
        <v>8</v>
      </c>
      <c r="B17" s="108" t="s">
        <v>120</v>
      </c>
      <c r="C17" s="86" t="s">
        <v>93</v>
      </c>
      <c r="D17" s="88">
        <v>1233699111</v>
      </c>
      <c r="E17" s="93"/>
      <c r="F17" s="114" t="s">
        <v>116</v>
      </c>
      <c r="G17" s="92">
        <v>3043079337</v>
      </c>
      <c r="H17" s="88" t="s">
        <v>117</v>
      </c>
      <c r="I17" s="88" t="s">
        <v>170</v>
      </c>
      <c r="J17" s="88">
        <v>3242418795</v>
      </c>
      <c r="K17" s="96" t="s">
        <v>171</v>
      </c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spans="1:26" ht="15.75" customHeight="1">
      <c r="A18" s="86">
        <f t="shared" si="0"/>
        <v>9</v>
      </c>
      <c r="B18" s="108" t="s">
        <v>131</v>
      </c>
      <c r="C18" s="86" t="s">
        <v>93</v>
      </c>
      <c r="D18" s="88">
        <v>1141122043</v>
      </c>
      <c r="E18" s="95"/>
      <c r="F18" s="114" t="s">
        <v>143</v>
      </c>
      <c r="G18" s="92">
        <v>3203097840</v>
      </c>
      <c r="H18" s="88" t="s">
        <v>113</v>
      </c>
      <c r="I18" s="88" t="s">
        <v>114</v>
      </c>
      <c r="J18" s="88">
        <v>3052815539</v>
      </c>
      <c r="K18" s="96" t="s">
        <v>115</v>
      </c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ht="15.75" customHeight="1">
      <c r="A19" s="86">
        <f t="shared" si="0"/>
        <v>10</v>
      </c>
      <c r="B19" s="109" t="s">
        <v>132</v>
      </c>
      <c r="C19" s="86" t="s">
        <v>93</v>
      </c>
      <c r="D19" s="88">
        <v>1141125037</v>
      </c>
      <c r="E19" s="95"/>
      <c r="F19" s="114" t="s">
        <v>144</v>
      </c>
      <c r="G19" s="92">
        <v>3202423554</v>
      </c>
      <c r="H19" s="88" t="s">
        <v>172</v>
      </c>
      <c r="I19" s="88" t="s">
        <v>173</v>
      </c>
      <c r="J19" s="88">
        <v>3115692380</v>
      </c>
      <c r="K19" s="96" t="s">
        <v>174</v>
      </c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spans="1:26" ht="15.75" customHeight="1">
      <c r="A20" s="86">
        <f t="shared" si="0"/>
        <v>11</v>
      </c>
      <c r="B20" s="108" t="s">
        <v>121</v>
      </c>
      <c r="C20" s="86" t="s">
        <v>93</v>
      </c>
      <c r="D20" s="88">
        <v>1016099996</v>
      </c>
      <c r="E20" s="95"/>
      <c r="F20" s="114" t="s">
        <v>145</v>
      </c>
      <c r="G20" s="92">
        <v>3115458500</v>
      </c>
      <c r="H20" s="88" t="s">
        <v>175</v>
      </c>
      <c r="I20" s="88" t="s">
        <v>176</v>
      </c>
      <c r="J20" s="88">
        <v>3024199547</v>
      </c>
      <c r="K20" s="96" t="s">
        <v>177</v>
      </c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spans="1:26" ht="15.75" customHeight="1">
      <c r="A21" s="86">
        <f t="shared" si="0"/>
        <v>12</v>
      </c>
      <c r="B21" s="109" t="s">
        <v>133</v>
      </c>
      <c r="C21" s="86" t="s">
        <v>93</v>
      </c>
      <c r="D21" s="89">
        <v>1024604513</v>
      </c>
      <c r="E21" s="93"/>
      <c r="F21" s="114" t="s">
        <v>146</v>
      </c>
      <c r="G21" s="92">
        <v>3043219455</v>
      </c>
      <c r="H21" s="88" t="s">
        <v>178</v>
      </c>
      <c r="I21" s="88" t="s">
        <v>179</v>
      </c>
      <c r="J21" s="88">
        <v>3219445087</v>
      </c>
      <c r="K21" s="96" t="s">
        <v>180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spans="1:26" ht="15.75" customHeight="1">
      <c r="A22" s="86">
        <f t="shared" si="0"/>
        <v>13</v>
      </c>
      <c r="B22" s="108" t="s">
        <v>134</v>
      </c>
      <c r="C22" s="86" t="s">
        <v>93</v>
      </c>
      <c r="D22" s="88">
        <v>1013696365</v>
      </c>
      <c r="E22" s="94"/>
      <c r="F22" s="114" t="s">
        <v>147</v>
      </c>
      <c r="G22" s="92">
        <v>3027339532</v>
      </c>
      <c r="H22" s="88" t="s">
        <v>181</v>
      </c>
      <c r="I22" s="88" t="s">
        <v>182</v>
      </c>
      <c r="J22" s="88">
        <v>3012308100</v>
      </c>
      <c r="K22" s="96" t="s">
        <v>183</v>
      </c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ht="15.75" customHeight="1">
      <c r="A23" s="86">
        <f t="shared" si="0"/>
        <v>14</v>
      </c>
      <c r="B23" s="109" t="s">
        <v>122</v>
      </c>
      <c r="C23" s="86" t="s">
        <v>97</v>
      </c>
      <c r="D23" s="88">
        <v>6478830</v>
      </c>
      <c r="E23" s="93"/>
      <c r="F23" s="114" t="s">
        <v>291</v>
      </c>
      <c r="G23" s="92">
        <v>3244612852</v>
      </c>
      <c r="H23" s="88" t="s">
        <v>184</v>
      </c>
      <c r="I23" s="88" t="s">
        <v>185</v>
      </c>
      <c r="J23" s="88">
        <v>3042769277</v>
      </c>
      <c r="K23" s="96" t="s">
        <v>186</v>
      </c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spans="1:26" ht="15.75" customHeight="1">
      <c r="A24" s="86">
        <f t="shared" si="0"/>
        <v>15</v>
      </c>
      <c r="B24" s="108" t="s">
        <v>123</v>
      </c>
      <c r="C24" s="86" t="s">
        <v>93</v>
      </c>
      <c r="D24" s="88">
        <v>1014224769</v>
      </c>
      <c r="E24" s="93"/>
      <c r="F24" s="114" t="s">
        <v>149</v>
      </c>
      <c r="G24" s="92">
        <v>3212798766</v>
      </c>
      <c r="H24" s="88" t="s">
        <v>187</v>
      </c>
      <c r="I24" s="88" t="s">
        <v>188</v>
      </c>
      <c r="J24" s="88">
        <v>3203913307</v>
      </c>
      <c r="K24" s="96" t="s">
        <v>282</v>
      </c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spans="1:26" ht="15.75" customHeight="1">
      <c r="A25" s="86">
        <f t="shared" si="0"/>
        <v>16</v>
      </c>
      <c r="B25" s="109" t="s">
        <v>135</v>
      </c>
      <c r="C25" s="86" t="s">
        <v>93</v>
      </c>
      <c r="D25" s="88">
        <v>1021679514</v>
      </c>
      <c r="E25" s="95"/>
      <c r="F25" s="114" t="s">
        <v>150</v>
      </c>
      <c r="G25" s="92">
        <v>3222807387</v>
      </c>
      <c r="H25" s="88" t="s">
        <v>189</v>
      </c>
      <c r="I25" s="88" t="s">
        <v>190</v>
      </c>
      <c r="J25" s="88">
        <v>3005230906</v>
      </c>
      <c r="K25" s="96" t="s">
        <v>191</v>
      </c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spans="1:26" ht="15.75" customHeight="1">
      <c r="A26" s="86">
        <f t="shared" si="0"/>
        <v>17</v>
      </c>
      <c r="B26" s="108" t="s">
        <v>136</v>
      </c>
      <c r="C26" s="86" t="s">
        <v>97</v>
      </c>
      <c r="D26" s="88">
        <v>8069402</v>
      </c>
      <c r="E26" s="95"/>
      <c r="F26" s="114" t="s">
        <v>151</v>
      </c>
      <c r="G26" s="92" t="s">
        <v>158</v>
      </c>
      <c r="H26" s="88" t="s">
        <v>192</v>
      </c>
      <c r="I26" s="88" t="s">
        <v>193</v>
      </c>
      <c r="J26" s="88" t="s">
        <v>194</v>
      </c>
      <c r="K26" s="96" t="s">
        <v>195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ht="15.75" customHeight="1">
      <c r="A27" s="86">
        <f t="shared" si="0"/>
        <v>18</v>
      </c>
      <c r="B27" s="109" t="s">
        <v>137</v>
      </c>
      <c r="C27" s="86" t="s">
        <v>93</v>
      </c>
      <c r="D27" s="88">
        <v>1073383126</v>
      </c>
      <c r="E27" s="93"/>
      <c r="F27" s="114" t="s">
        <v>152</v>
      </c>
      <c r="G27" s="92">
        <v>3009088030</v>
      </c>
      <c r="H27" s="88" t="s">
        <v>196</v>
      </c>
      <c r="I27" s="88" t="s">
        <v>197</v>
      </c>
      <c r="J27" s="88">
        <v>3227959785</v>
      </c>
      <c r="K27" s="96" t="s">
        <v>198</v>
      </c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spans="1:26" ht="15.75" customHeight="1">
      <c r="A28" s="86">
        <f t="shared" si="0"/>
        <v>19</v>
      </c>
      <c r="B28" s="108" t="s">
        <v>138</v>
      </c>
      <c r="C28" s="86" t="s">
        <v>93</v>
      </c>
      <c r="D28" s="88">
        <v>1014993944</v>
      </c>
      <c r="E28" s="93"/>
      <c r="F28" s="114" t="s">
        <v>153</v>
      </c>
      <c r="G28" s="92">
        <v>3202346116</v>
      </c>
      <c r="H28" s="88" t="s">
        <v>199</v>
      </c>
      <c r="I28" s="88" t="s">
        <v>200</v>
      </c>
      <c r="J28" s="88">
        <v>3114176706</v>
      </c>
      <c r="K28" s="96" t="s">
        <v>201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spans="1:26" ht="15.75" customHeight="1">
      <c r="A29" s="86">
        <f t="shared" si="0"/>
        <v>20</v>
      </c>
      <c r="B29" s="109" t="s">
        <v>124</v>
      </c>
      <c r="C29" s="86" t="s">
        <v>93</v>
      </c>
      <c r="D29" s="88">
        <v>1016119380</v>
      </c>
      <c r="E29" s="93"/>
      <c r="F29" s="114" t="s">
        <v>154</v>
      </c>
      <c r="G29" s="92">
        <v>3232492685</v>
      </c>
      <c r="H29" s="88" t="s">
        <v>202</v>
      </c>
      <c r="I29" s="88" t="s">
        <v>203</v>
      </c>
      <c r="J29" s="88">
        <v>3046221339</v>
      </c>
      <c r="K29" s="96" t="s">
        <v>204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spans="1:26" ht="15.75" customHeight="1">
      <c r="A30" s="86">
        <f t="shared" si="0"/>
        <v>21</v>
      </c>
      <c r="B30" s="108" t="s">
        <v>125</v>
      </c>
      <c r="C30" s="86" t="s">
        <v>93</v>
      </c>
      <c r="D30" s="88">
        <v>1014228131</v>
      </c>
      <c r="E30" s="93"/>
      <c r="F30" s="114" t="s">
        <v>155</v>
      </c>
      <c r="G30" s="92">
        <v>3202369187</v>
      </c>
      <c r="H30" s="88" t="s">
        <v>205</v>
      </c>
      <c r="I30" s="88" t="s">
        <v>206</v>
      </c>
      <c r="J30" s="88">
        <v>3143113584</v>
      </c>
      <c r="K30" s="96" t="s">
        <v>207</v>
      </c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ht="15.75" customHeight="1">
      <c r="A31" s="86">
        <f t="shared" si="0"/>
        <v>22</v>
      </c>
      <c r="B31" s="109" t="s">
        <v>139</v>
      </c>
      <c r="C31" s="86" t="s">
        <v>93</v>
      </c>
      <c r="D31" s="88">
        <v>1141120946</v>
      </c>
      <c r="E31" s="93"/>
      <c r="F31" s="114" t="s">
        <v>156</v>
      </c>
      <c r="G31" s="92">
        <v>3115959195</v>
      </c>
      <c r="H31" s="88" t="s">
        <v>208</v>
      </c>
      <c r="I31" s="88" t="s">
        <v>209</v>
      </c>
      <c r="J31" s="88">
        <v>3204080805</v>
      </c>
      <c r="K31" s="96" t="s">
        <v>210</v>
      </c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spans="1:26" ht="15.75" customHeight="1">
      <c r="A32" s="86">
        <f t="shared" si="0"/>
        <v>23</v>
      </c>
      <c r="B32" s="110" t="s">
        <v>213</v>
      </c>
      <c r="C32" s="60" t="s">
        <v>93</v>
      </c>
      <c r="D32" s="87">
        <v>110088425</v>
      </c>
      <c r="E32" s="62"/>
      <c r="F32" s="97" t="s">
        <v>214</v>
      </c>
      <c r="G32" s="87">
        <v>3125226479</v>
      </c>
      <c r="H32" s="98" t="s">
        <v>215</v>
      </c>
      <c r="I32" s="97" t="s">
        <v>216</v>
      </c>
      <c r="J32" s="87">
        <v>3178461058</v>
      </c>
      <c r="K32" s="117" t="s">
        <v>271</v>
      </c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spans="1:26" ht="15.75" customHeight="1">
      <c r="A33" s="86">
        <f t="shared" si="0"/>
        <v>24</v>
      </c>
      <c r="B33" s="111" t="s">
        <v>223</v>
      </c>
      <c r="C33" s="65" t="s">
        <v>97</v>
      </c>
      <c r="D33" s="66">
        <v>7878261</v>
      </c>
      <c r="E33" s="99"/>
      <c r="F33" s="100" t="s">
        <v>290</v>
      </c>
      <c r="G33" s="66">
        <v>3115946810</v>
      </c>
      <c r="H33" s="101" t="s">
        <v>217</v>
      </c>
      <c r="I33" s="100" t="s">
        <v>218</v>
      </c>
      <c r="J33" s="66">
        <v>3114988725</v>
      </c>
      <c r="K33" s="113" t="s">
        <v>224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spans="1:26" ht="15.75" customHeight="1">
      <c r="A34" s="86">
        <f t="shared" si="0"/>
        <v>25</v>
      </c>
      <c r="B34" s="112" t="s">
        <v>266</v>
      </c>
      <c r="C34" s="65" t="s">
        <v>93</v>
      </c>
      <c r="D34" s="104">
        <v>1116498696</v>
      </c>
      <c r="E34" s="104"/>
      <c r="F34" s="106" t="s">
        <v>219</v>
      </c>
      <c r="G34" s="104">
        <v>3223436901</v>
      </c>
      <c r="H34" s="107" t="s">
        <v>220</v>
      </c>
      <c r="I34" s="106" t="s">
        <v>221</v>
      </c>
      <c r="J34" s="104">
        <v>3103664577</v>
      </c>
      <c r="K34" s="105" t="s">
        <v>222</v>
      </c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ht="15.75" customHeight="1">
      <c r="A35" s="86">
        <f t="shared" si="0"/>
        <v>26</v>
      </c>
      <c r="B35" s="104"/>
      <c r="C35" s="104"/>
      <c r="D35" s="104"/>
      <c r="E35" s="104"/>
      <c r="F35" s="104"/>
      <c r="G35" s="104"/>
      <c r="H35" s="104"/>
      <c r="I35" s="104"/>
      <c r="J35" s="104"/>
      <c r="K35" s="104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spans="1:26" ht="15.75" customHeight="1">
      <c r="A36" s="86">
        <f t="shared" si="0"/>
        <v>27</v>
      </c>
      <c r="B36" s="102"/>
      <c r="C36" s="103"/>
      <c r="D36" s="87"/>
      <c r="E36" s="90"/>
      <c r="F36" s="90"/>
      <c r="G36" s="87"/>
      <c r="H36" s="87"/>
      <c r="I36" s="90"/>
      <c r="J36" s="87"/>
      <c r="K36" s="90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spans="1:26" ht="15.75" customHeight="1">
      <c r="A37" s="60">
        <f t="shared" si="0"/>
        <v>28</v>
      </c>
      <c r="B37" s="87"/>
      <c r="C37" s="40"/>
      <c r="D37" s="61"/>
      <c r="E37" s="62"/>
      <c r="F37" s="62"/>
      <c r="G37" s="61"/>
      <c r="H37" s="61"/>
      <c r="I37" s="62"/>
      <c r="J37" s="61"/>
      <c r="K37" s="63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spans="1:26" ht="15.75" customHeight="1">
      <c r="A38" s="60">
        <f t="shared" si="0"/>
        <v>29</v>
      </c>
      <c r="B38" s="61"/>
      <c r="C38" s="40"/>
      <c r="D38" s="61"/>
      <c r="E38" s="62"/>
      <c r="F38" s="62"/>
      <c r="G38" s="61"/>
      <c r="H38" s="61"/>
      <c r="I38" s="62"/>
      <c r="J38" s="61"/>
      <c r="K38" s="62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spans="1:26" ht="15.75" customHeight="1">
      <c r="A39" s="60">
        <f t="shared" si="0"/>
        <v>30</v>
      </c>
      <c r="B39" s="61"/>
      <c r="C39" s="40"/>
      <c r="D39" s="61"/>
      <c r="E39" s="62"/>
      <c r="F39" s="62"/>
      <c r="G39" s="61"/>
      <c r="H39" s="61"/>
      <c r="I39" s="62"/>
      <c r="J39" s="61"/>
      <c r="K39" s="63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spans="1:26" ht="15.75" customHeight="1">
      <c r="A40" s="60">
        <f t="shared" si="0"/>
        <v>31</v>
      </c>
      <c r="B40" s="61"/>
      <c r="C40" s="40"/>
      <c r="D40" s="61"/>
      <c r="E40" s="84"/>
      <c r="F40" s="84"/>
      <c r="G40" s="61"/>
      <c r="H40" s="61"/>
      <c r="I40" s="84"/>
      <c r="J40" s="61"/>
      <c r="K40" s="84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spans="1:26" ht="15.75" customHeight="1">
      <c r="A41" s="60">
        <f t="shared" si="0"/>
        <v>32</v>
      </c>
      <c r="B41" s="61"/>
      <c r="C41" s="40"/>
      <c r="D41" s="61"/>
      <c r="E41" s="84"/>
      <c r="F41" s="84"/>
      <c r="G41" s="61"/>
      <c r="H41" s="61"/>
      <c r="I41" s="84"/>
      <c r="J41" s="61"/>
      <c r="K41" s="84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spans="1:26" ht="15.75" customHeight="1">
      <c r="A42" s="60">
        <f t="shared" si="0"/>
        <v>33</v>
      </c>
      <c r="B42" s="61"/>
      <c r="C42" s="40"/>
      <c r="D42" s="61"/>
      <c r="E42" s="84"/>
      <c r="F42" s="84"/>
      <c r="G42" s="61"/>
      <c r="H42" s="61"/>
      <c r="I42" s="84"/>
      <c r="J42" s="61"/>
      <c r="K42" s="84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spans="1:26" ht="15.75" customHeight="1">
      <c r="A43" s="60">
        <f t="shared" si="0"/>
        <v>34</v>
      </c>
      <c r="B43" s="61"/>
      <c r="C43" s="40"/>
      <c r="D43" s="61"/>
      <c r="E43" s="84"/>
      <c r="F43" s="84"/>
      <c r="G43" s="61"/>
      <c r="H43" s="61"/>
      <c r="I43" s="84"/>
      <c r="J43" s="61"/>
      <c r="K43" s="84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spans="1:26" ht="15.75" customHeight="1">
      <c r="A44" s="60">
        <f t="shared" si="0"/>
        <v>35</v>
      </c>
      <c r="B44" s="61"/>
      <c r="C44" s="40"/>
      <c r="D44" s="61"/>
      <c r="E44" s="84"/>
      <c r="F44" s="84"/>
      <c r="G44" s="61"/>
      <c r="H44" s="61"/>
      <c r="I44" s="84"/>
      <c r="J44" s="61"/>
      <c r="K44" s="84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spans="1:26" ht="15.75" customHeight="1">
      <c r="A45" s="65">
        <f t="shared" si="0"/>
        <v>36</v>
      </c>
      <c r="B45" s="66"/>
      <c r="C45" s="67"/>
      <c r="D45" s="66"/>
      <c r="E45" s="85"/>
      <c r="F45" s="85"/>
      <c r="G45" s="66"/>
      <c r="H45" s="66"/>
      <c r="I45" s="85"/>
      <c r="J45" s="66"/>
      <c r="K45" s="85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spans="1:26" ht="15.75" customHeight="1">
      <c r="A46" s="68">
        <v>37</v>
      </c>
      <c r="B46" s="49"/>
      <c r="C46" s="48"/>
      <c r="D46" s="49"/>
      <c r="E46" s="49"/>
      <c r="F46" s="49"/>
      <c r="G46" s="49"/>
      <c r="H46" s="49"/>
      <c r="I46" s="49"/>
      <c r="J46" s="49"/>
      <c r="K46" s="4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>
      <c r="A47" s="68">
        <v>38</v>
      </c>
      <c r="B47" s="49"/>
      <c r="C47" s="48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spans="1:26" ht="15.75" customHeight="1">
      <c r="A48" s="68">
        <v>39</v>
      </c>
      <c r="B48" s="49"/>
      <c r="C48" s="48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spans="1:26" ht="15.75" customHeight="1">
      <c r="A49" s="68">
        <v>40</v>
      </c>
      <c r="B49" s="49"/>
      <c r="C49" s="48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spans="1:26" ht="15.75" customHeight="1">
      <c r="A50" s="68">
        <v>41</v>
      </c>
      <c r="B50" s="49"/>
      <c r="C50" s="48"/>
      <c r="D50" s="49"/>
      <c r="E50" s="49"/>
      <c r="F50" s="49" t="s">
        <v>78</v>
      </c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spans="1:26" ht="15.75" customHeight="1">
      <c r="A51" s="68">
        <v>42</v>
      </c>
      <c r="B51" s="49"/>
      <c r="C51" s="48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spans="1:26" ht="15.75" customHeight="1">
      <c r="A52" s="68"/>
      <c r="B52" s="49"/>
      <c r="C52" s="48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spans="1:26" ht="15.75" customHeight="1">
      <c r="A53" s="68"/>
      <c r="B53" s="49"/>
      <c r="C53" s="48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spans="1:26" ht="15.75" customHeight="1">
      <c r="A54" s="68"/>
      <c r="B54" s="49"/>
      <c r="C54" s="48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spans="1:26" ht="15.75" customHeight="1">
      <c r="A55" s="68"/>
      <c r="B55" s="49"/>
      <c r="C55" s="48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spans="1:26" ht="15.75" customHeight="1">
      <c r="A56" s="68"/>
      <c r="B56" s="49"/>
      <c r="C56" s="48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spans="1:26" ht="15.75" customHeight="1">
      <c r="A57" s="68"/>
      <c r="B57" s="49"/>
      <c r="C57" s="48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spans="1:26" ht="15.75" customHeight="1">
      <c r="A58" s="68"/>
      <c r="B58" s="49"/>
      <c r="C58" s="48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spans="1:26" ht="15.75" customHeight="1">
      <c r="A59" s="68"/>
      <c r="B59" s="49"/>
      <c r="C59" s="48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spans="1:26" ht="15.75" customHeight="1">
      <c r="A60" s="68"/>
      <c r="B60" s="49"/>
      <c r="C60" s="48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spans="1:26" ht="15.75" customHeight="1">
      <c r="A61" s="68"/>
      <c r="B61" s="49"/>
      <c r="C61" s="48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spans="1:26" ht="15.75" customHeight="1">
      <c r="A62" s="68"/>
      <c r="B62" s="49"/>
      <c r="C62" s="48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spans="1:26" ht="15.75" customHeight="1">
      <c r="A63" s="68"/>
      <c r="B63" s="49"/>
      <c r="C63" s="48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spans="1:26" ht="15.75" customHeight="1">
      <c r="A64" s="68"/>
      <c r="B64" s="49"/>
      <c r="C64" s="48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spans="1:26" ht="15.75" customHeight="1">
      <c r="A65" s="68"/>
      <c r="B65" s="49"/>
      <c r="C65" s="48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spans="1:26" ht="15.75" customHeight="1">
      <c r="A66" s="68"/>
      <c r="B66" s="49"/>
      <c r="C66" s="48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spans="1:26" ht="15.75" customHeight="1">
      <c r="A67" s="68"/>
      <c r="B67" s="49"/>
      <c r="C67" s="48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spans="1:26" ht="15.75" customHeight="1">
      <c r="A68" s="68"/>
      <c r="B68" s="49"/>
      <c r="C68" s="48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spans="1:26" ht="15.75" customHeight="1">
      <c r="A69" s="68"/>
      <c r="B69" s="49"/>
      <c r="C69" s="48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spans="1:26" ht="15.75" customHeight="1">
      <c r="A70" s="68"/>
      <c r="B70" s="49"/>
      <c r="C70" s="48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spans="1:26" ht="15.75" customHeight="1">
      <c r="A71" s="68"/>
      <c r="B71" s="49"/>
      <c r="C71" s="48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spans="1:26" ht="15.75" customHeight="1">
      <c r="A72" s="68"/>
      <c r="B72" s="49"/>
      <c r="C72" s="48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spans="1:26" ht="15.75" customHeight="1">
      <c r="A73" s="68"/>
      <c r="B73" s="49"/>
      <c r="C73" s="48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spans="1:26" ht="15.75" customHeight="1">
      <c r="A74" s="68"/>
      <c r="B74" s="49"/>
      <c r="C74" s="48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spans="1:26" ht="15.75" customHeight="1">
      <c r="A75" s="68"/>
      <c r="B75" s="49"/>
      <c r="C75" s="48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spans="1:26" ht="15.75" customHeight="1">
      <c r="A76" s="68"/>
      <c r="B76" s="49"/>
      <c r="C76" s="48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spans="1:26" ht="15.75" customHeight="1">
      <c r="A77" s="68"/>
      <c r="B77" s="49"/>
      <c r="C77" s="48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spans="1:26" ht="15.75" customHeight="1">
      <c r="A78" s="68"/>
      <c r="B78" s="49"/>
      <c r="C78" s="48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spans="1:26" ht="15.75" customHeight="1">
      <c r="A79" s="68"/>
      <c r="B79" s="49"/>
      <c r="C79" s="48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spans="1:26" ht="15.75" customHeight="1">
      <c r="A80" s="68"/>
      <c r="B80" s="49"/>
      <c r="C80" s="48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spans="1:26" ht="15.75" customHeight="1">
      <c r="A81" s="68"/>
      <c r="B81" s="49"/>
      <c r="C81" s="48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spans="1:26" ht="15.75" customHeight="1">
      <c r="A82" s="68"/>
      <c r="B82" s="49"/>
      <c r="C82" s="48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spans="1:26" ht="15.75" customHeight="1">
      <c r="A83" s="68"/>
      <c r="B83" s="49"/>
      <c r="C83" s="48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spans="1:26" ht="15.75" customHeight="1">
      <c r="A84" s="68"/>
      <c r="B84" s="49"/>
      <c r="C84" s="48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spans="1:26" ht="15.75" customHeight="1">
      <c r="A85" s="68"/>
      <c r="B85" s="49"/>
      <c r="C85" s="48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spans="1:26" ht="15.75" customHeight="1">
      <c r="A86" s="68"/>
      <c r="B86" s="49"/>
      <c r="C86" s="48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spans="1:26" ht="15.75" customHeight="1">
      <c r="A87" s="68"/>
      <c r="B87" s="49"/>
      <c r="C87" s="48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spans="1:26" ht="15.75" customHeight="1">
      <c r="A88" s="68"/>
      <c r="B88" s="49"/>
      <c r="C88" s="48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spans="1:26" ht="15.75" customHeight="1">
      <c r="A89" s="68"/>
      <c r="B89" s="49"/>
      <c r="C89" s="48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spans="1:26" ht="15.75" customHeight="1">
      <c r="A90" s="68"/>
      <c r="B90" s="49"/>
      <c r="C90" s="48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spans="1:26" ht="15.75" customHeight="1">
      <c r="A91" s="68"/>
      <c r="B91" s="49"/>
      <c r="C91" s="48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spans="1:26" ht="15.75" customHeight="1">
      <c r="A92" s="68"/>
      <c r="B92" s="49"/>
      <c r="C92" s="48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spans="1:26" ht="15.75" customHeight="1">
      <c r="A93" s="68"/>
      <c r="B93" s="49"/>
      <c r="C93" s="48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spans="1:26" ht="15.75" customHeight="1">
      <c r="A94" s="68"/>
      <c r="B94" s="49"/>
      <c r="C94" s="48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spans="1:26" ht="15.75" customHeight="1">
      <c r="A95" s="68"/>
      <c r="B95" s="49"/>
      <c r="C95" s="48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spans="1:26" ht="15.75" customHeight="1">
      <c r="A96" s="68"/>
      <c r="B96" s="49"/>
      <c r="C96" s="48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spans="1:26" ht="15.75" customHeight="1">
      <c r="A97" s="68"/>
      <c r="B97" s="49"/>
      <c r="C97" s="48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spans="1:26" ht="15.75" customHeight="1">
      <c r="A98" s="68"/>
      <c r="B98" s="49"/>
      <c r="C98" s="48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spans="1:26" ht="15.75" customHeight="1">
      <c r="A99" s="68"/>
      <c r="B99" s="49"/>
      <c r="C99" s="48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spans="1:26" ht="15.75" customHeight="1">
      <c r="A100" s="68"/>
      <c r="B100" s="49"/>
      <c r="C100" s="48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spans="1:26" ht="15.75" customHeight="1">
      <c r="A101" s="68"/>
      <c r="B101" s="49"/>
      <c r="C101" s="48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spans="1:26" ht="15.75" customHeight="1">
      <c r="A102" s="68"/>
      <c r="B102" s="49"/>
      <c r="C102" s="48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spans="1:26" ht="15.75" customHeight="1">
      <c r="A103" s="68"/>
      <c r="B103" s="49"/>
      <c r="C103" s="48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spans="1:26" ht="15.75" customHeight="1">
      <c r="A104" s="68"/>
      <c r="B104" s="49"/>
      <c r="C104" s="48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spans="1:26" ht="15.75" customHeight="1">
      <c r="A105" s="68"/>
      <c r="B105" s="49"/>
      <c r="C105" s="48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spans="1:26" ht="15.75" customHeight="1">
      <c r="A106" s="68"/>
      <c r="B106" s="49"/>
      <c r="C106" s="48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spans="1:26" ht="15.75" customHeight="1">
      <c r="A107" s="68"/>
      <c r="B107" s="49"/>
      <c r="C107" s="48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spans="1:26" ht="15.75" customHeight="1">
      <c r="A108" s="68"/>
      <c r="B108" s="49"/>
      <c r="C108" s="48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spans="1:26" ht="15.75" customHeight="1">
      <c r="A109" s="68"/>
      <c r="B109" s="49"/>
      <c r="C109" s="48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spans="1:26" ht="15.75" customHeight="1">
      <c r="A110" s="68"/>
      <c r="B110" s="49"/>
      <c r="C110" s="48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15.75" customHeight="1">
      <c r="A111" s="68"/>
      <c r="B111" s="49"/>
      <c r="C111" s="48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5.75" customHeight="1">
      <c r="A112" s="68"/>
      <c r="B112" s="49"/>
      <c r="C112" s="48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spans="1:26" ht="15.75" customHeight="1">
      <c r="A113" s="68"/>
      <c r="B113" s="49"/>
      <c r="C113" s="48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spans="1:26" ht="15.75" customHeight="1">
      <c r="A114" s="68"/>
      <c r="B114" s="49"/>
      <c r="C114" s="48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spans="1:26" ht="15.75" customHeight="1">
      <c r="A115" s="68"/>
      <c r="B115" s="49"/>
      <c r="C115" s="48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spans="1:26" ht="15.75" customHeight="1">
      <c r="A116" s="68"/>
      <c r="B116" s="49"/>
      <c r="C116" s="48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spans="1:26" ht="15.75" customHeight="1">
      <c r="A117" s="68"/>
      <c r="B117" s="49"/>
      <c r="C117" s="48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spans="1:26" ht="15.75" customHeight="1">
      <c r="A118" s="68"/>
      <c r="B118" s="49"/>
      <c r="C118" s="48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spans="1:26" ht="15.75" customHeight="1">
      <c r="A119" s="68"/>
      <c r="B119" s="49"/>
      <c r="C119" s="48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spans="1:26" ht="15.75" customHeight="1">
      <c r="A120" s="68"/>
      <c r="B120" s="49"/>
      <c r="C120" s="48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spans="1:26" ht="15.75" customHeight="1">
      <c r="A121" s="68"/>
      <c r="B121" s="49"/>
      <c r="C121" s="48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spans="1:26" ht="15.75" customHeight="1">
      <c r="A122" s="68"/>
      <c r="B122" s="49"/>
      <c r="C122" s="48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spans="1:26" ht="15.75" customHeight="1">
      <c r="A123" s="68"/>
      <c r="B123" s="49"/>
      <c r="C123" s="48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spans="1:26" ht="15.75" customHeight="1">
      <c r="A124" s="68"/>
      <c r="B124" s="49"/>
      <c r="C124" s="48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spans="1:26" ht="15.75" customHeight="1">
      <c r="A125" s="68"/>
      <c r="B125" s="49"/>
      <c r="C125" s="48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spans="1:26" ht="15.75" customHeight="1">
      <c r="A126" s="68"/>
      <c r="B126" s="49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spans="1:26" ht="15.75" customHeight="1">
      <c r="A127" s="68"/>
      <c r="B127" s="49"/>
      <c r="C127" s="48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1:26" ht="15.75" customHeight="1">
      <c r="A128" s="68"/>
      <c r="B128" s="49"/>
      <c r="C128" s="48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1:26" ht="15.75" customHeight="1">
      <c r="A129" s="68"/>
      <c r="B129" s="49"/>
      <c r="C129" s="48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spans="1:26" ht="15.75" customHeight="1">
      <c r="A130" s="68"/>
      <c r="B130" s="49"/>
      <c r="C130" s="48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spans="1:26" ht="15.75" customHeight="1">
      <c r="A131" s="68"/>
      <c r="B131" s="49"/>
      <c r="C131" s="48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spans="1:26" ht="15.75" customHeight="1">
      <c r="A132" s="68"/>
      <c r="B132" s="49"/>
      <c r="C132" s="48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spans="1:26" ht="15.75" customHeight="1">
      <c r="A133" s="68"/>
      <c r="B133" s="49"/>
      <c r="C133" s="48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spans="1:26" ht="15.75" customHeight="1">
      <c r="A134" s="68"/>
      <c r="B134" s="49"/>
      <c r="C134" s="48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spans="1:26" ht="15.75" customHeight="1">
      <c r="A135" s="68"/>
      <c r="B135" s="49"/>
      <c r="C135" s="48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spans="1:26" ht="15.75" customHeight="1">
      <c r="A136" s="68"/>
      <c r="B136" s="49"/>
      <c r="C136" s="48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spans="1:26" ht="15.75" customHeight="1">
      <c r="A137" s="68"/>
      <c r="B137" s="49"/>
      <c r="C137" s="48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spans="1:26" ht="15.75" customHeight="1">
      <c r="A138" s="68"/>
      <c r="B138" s="49"/>
      <c r="C138" s="48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spans="1:26" ht="15.75" customHeight="1">
      <c r="A139" s="68"/>
      <c r="B139" s="49"/>
      <c r="C139" s="48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spans="1:26" ht="15.75" customHeight="1">
      <c r="A140" s="68"/>
      <c r="B140" s="49"/>
      <c r="C140" s="48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spans="1:26" ht="15.75" customHeight="1">
      <c r="A141" s="68"/>
      <c r="B141" s="49"/>
      <c r="C141" s="48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spans="1:26" ht="15.75" customHeight="1">
      <c r="A142" s="68"/>
      <c r="B142" s="49"/>
      <c r="C142" s="48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spans="1:26" ht="15.75" customHeight="1">
      <c r="A143" s="68"/>
      <c r="B143" s="49"/>
      <c r="C143" s="48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spans="1:26" ht="15.75" customHeight="1">
      <c r="A144" s="68"/>
      <c r="B144" s="49"/>
      <c r="C144" s="48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spans="1:26" ht="15.75" customHeight="1">
      <c r="A145" s="68"/>
      <c r="B145" s="49"/>
      <c r="C145" s="48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spans="1:26" ht="15.75" customHeight="1">
      <c r="A146" s="68"/>
      <c r="B146" s="49"/>
      <c r="C146" s="48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spans="1:26" ht="15.75" customHeight="1">
      <c r="A147" s="68"/>
      <c r="B147" s="49"/>
      <c r="C147" s="48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spans="1:26" ht="15.75" customHeight="1">
      <c r="A148" s="68"/>
      <c r="B148" s="49"/>
      <c r="C148" s="48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spans="1:26" ht="15.75" customHeight="1">
      <c r="A149" s="68"/>
      <c r="B149" s="49"/>
      <c r="C149" s="48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spans="1:26" ht="15.75" customHeight="1">
      <c r="A150" s="68"/>
      <c r="B150" s="49"/>
      <c r="C150" s="48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spans="1:26" ht="15.75" customHeight="1">
      <c r="A151" s="68"/>
      <c r="B151" s="49"/>
      <c r="C151" s="48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spans="1:26" ht="15.75" customHeight="1">
      <c r="A152" s="68"/>
      <c r="B152" s="49"/>
      <c r="C152" s="48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spans="1:26" ht="15.75" customHeight="1">
      <c r="A153" s="68"/>
      <c r="B153" s="49"/>
      <c r="C153" s="48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spans="1:26" ht="15.75" customHeight="1">
      <c r="A154" s="68"/>
      <c r="B154" s="49"/>
      <c r="C154" s="48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spans="1:26" ht="15.75" customHeight="1">
      <c r="A155" s="68"/>
      <c r="B155" s="49"/>
      <c r="C155" s="48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spans="1:26" ht="15.75" customHeight="1">
      <c r="A156" s="68"/>
      <c r="B156" s="49"/>
      <c r="C156" s="48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spans="1:26" ht="15.75" customHeight="1">
      <c r="A157" s="68"/>
      <c r="B157" s="49"/>
      <c r="C157" s="48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spans="1:26" ht="15.75" customHeight="1">
      <c r="A158" s="68"/>
      <c r="B158" s="49"/>
      <c r="C158" s="48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spans="1:26" ht="15.75" customHeight="1">
      <c r="A159" s="68"/>
      <c r="B159" s="49"/>
      <c r="C159" s="48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spans="1:26" ht="15.75" customHeight="1">
      <c r="A160" s="68"/>
      <c r="B160" s="49"/>
      <c r="C160" s="48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spans="1:26" ht="15.75" customHeight="1">
      <c r="A161" s="68"/>
      <c r="B161" s="49"/>
      <c r="C161" s="48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spans="1:26" ht="15.75" customHeight="1">
      <c r="A162" s="68"/>
      <c r="B162" s="49"/>
      <c r="C162" s="48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spans="1:26" ht="15.75" customHeight="1">
      <c r="A163" s="68"/>
      <c r="B163" s="49"/>
      <c r="C163" s="48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spans="1:26" ht="15.75" customHeight="1">
      <c r="A164" s="68"/>
      <c r="B164" s="49"/>
      <c r="C164" s="48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spans="1:26" ht="15.75" customHeight="1">
      <c r="A165" s="68"/>
      <c r="B165" s="49"/>
      <c r="C165" s="48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spans="1:26" ht="15.75" customHeight="1">
      <c r="A166" s="68"/>
      <c r="B166" s="49"/>
      <c r="C166" s="48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spans="1:26" ht="15.75" customHeight="1">
      <c r="A167" s="68"/>
      <c r="B167" s="49"/>
      <c r="C167" s="48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spans="1:26" ht="15.75" customHeight="1">
      <c r="A168" s="68"/>
      <c r="B168" s="49"/>
      <c r="C168" s="48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spans="1:26" ht="15.75" customHeight="1">
      <c r="A169" s="68"/>
      <c r="B169" s="49"/>
      <c r="C169" s="48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spans="1:26" ht="15.75" customHeight="1">
      <c r="A170" s="68"/>
      <c r="B170" s="49"/>
      <c r="C170" s="48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spans="1:26" ht="15.75" customHeight="1">
      <c r="A171" s="68"/>
      <c r="B171" s="49"/>
      <c r="C171" s="48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spans="1:26" ht="15.75" customHeight="1">
      <c r="A172" s="68"/>
      <c r="B172" s="49"/>
      <c r="C172" s="48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spans="1:26" ht="15.75" customHeight="1">
      <c r="A173" s="68"/>
      <c r="B173" s="49"/>
      <c r="C173" s="48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spans="1:26" ht="15.75" customHeight="1">
      <c r="A174" s="68"/>
      <c r="B174" s="49"/>
      <c r="C174" s="48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spans="1:26" ht="15.75" customHeight="1">
      <c r="A175" s="68"/>
      <c r="B175" s="49"/>
      <c r="C175" s="48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spans="1:26" ht="15.75" customHeight="1">
      <c r="A176" s="68"/>
      <c r="B176" s="49"/>
      <c r="C176" s="48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spans="1:26" ht="15.75" customHeight="1">
      <c r="A177" s="68"/>
      <c r="B177" s="49"/>
      <c r="C177" s="48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spans="1:26" ht="15.75" customHeight="1">
      <c r="A178" s="68"/>
      <c r="B178" s="49"/>
      <c r="C178" s="48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spans="1:26" ht="15.75" customHeight="1">
      <c r="A179" s="68"/>
      <c r="B179" s="49"/>
      <c r="C179" s="48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spans="1:26" ht="15.75" customHeight="1">
      <c r="A180" s="68"/>
      <c r="B180" s="49"/>
      <c r="C180" s="48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spans="1:26" ht="15.75" customHeight="1">
      <c r="A181" s="68"/>
      <c r="B181" s="49"/>
      <c r="C181" s="48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spans="1:26" ht="15.75" customHeight="1">
      <c r="A182" s="68"/>
      <c r="B182" s="49"/>
      <c r="C182" s="48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spans="1:26" ht="15.75" customHeight="1">
      <c r="A183" s="68"/>
      <c r="B183" s="49"/>
      <c r="C183" s="48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spans="1:26" ht="15.75" customHeight="1">
      <c r="A184" s="68"/>
      <c r="B184" s="49"/>
      <c r="C184" s="48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spans="1:26" ht="15.75" customHeight="1">
      <c r="A185" s="68"/>
      <c r="B185" s="49"/>
      <c r="C185" s="48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spans="1:26" ht="15.75" customHeight="1">
      <c r="A186" s="68"/>
      <c r="B186" s="49"/>
      <c r="C186" s="48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spans="1:26" ht="15.75" customHeight="1">
      <c r="A187" s="68"/>
      <c r="B187" s="49"/>
      <c r="C187" s="48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spans="1:26" ht="15.75" customHeight="1">
      <c r="A188" s="68"/>
      <c r="B188" s="49"/>
      <c r="C188" s="48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spans="1:26" ht="15.75" customHeight="1">
      <c r="A189" s="68"/>
      <c r="B189" s="49"/>
      <c r="C189" s="48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spans="1:26" ht="15.75" customHeight="1">
      <c r="A190" s="68"/>
      <c r="B190" s="49"/>
      <c r="C190" s="48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spans="1:26" ht="15.75" customHeight="1">
      <c r="A191" s="68"/>
      <c r="B191" s="49"/>
      <c r="C191" s="48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spans="1:26" ht="15.75" customHeight="1">
      <c r="A192" s="68"/>
      <c r="B192" s="49"/>
      <c r="C192" s="48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spans="1:26" ht="15.75" customHeight="1">
      <c r="A193" s="68"/>
      <c r="B193" s="49"/>
      <c r="C193" s="48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spans="1:26" ht="15.75" customHeight="1">
      <c r="A194" s="68"/>
      <c r="B194" s="49"/>
      <c r="C194" s="48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spans="1:26" ht="15.75" customHeight="1">
      <c r="A195" s="68"/>
      <c r="B195" s="49"/>
      <c r="C195" s="48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spans="1:26" ht="15.75" customHeight="1">
      <c r="A196" s="68"/>
      <c r="B196" s="49"/>
      <c r="C196" s="48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spans="1:26" ht="15.75" customHeight="1">
      <c r="A197" s="68"/>
      <c r="B197" s="49"/>
      <c r="C197" s="48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spans="1:26" ht="15.75" customHeight="1">
      <c r="A198" s="68"/>
      <c r="B198" s="49"/>
      <c r="C198" s="48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spans="1:26" ht="15.75" customHeight="1">
      <c r="A199" s="68"/>
      <c r="B199" s="49"/>
      <c r="C199" s="48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spans="1:26" ht="15.75" customHeight="1">
      <c r="A200" s="68"/>
      <c r="B200" s="49"/>
      <c r="C200" s="48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spans="1:26" ht="15.75" customHeight="1">
      <c r="A201" s="68"/>
      <c r="B201" s="49"/>
      <c r="C201" s="48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spans="1:26" ht="15.75" customHeight="1">
      <c r="A202" s="68"/>
      <c r="B202" s="49"/>
      <c r="C202" s="48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spans="1:26" ht="15.75" customHeight="1">
      <c r="A203" s="68"/>
      <c r="B203" s="49"/>
      <c r="C203" s="48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spans="1:26" ht="15.75" customHeight="1">
      <c r="A204" s="68"/>
      <c r="B204" s="49"/>
      <c r="C204" s="48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spans="1:26" ht="15.75" customHeight="1">
      <c r="A205" s="68"/>
      <c r="B205" s="49"/>
      <c r="C205" s="48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spans="1:26" ht="15.75" customHeight="1">
      <c r="A206" s="68"/>
      <c r="B206" s="49"/>
      <c r="C206" s="48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spans="1:26" ht="15.75" customHeight="1">
      <c r="A207" s="68"/>
      <c r="B207" s="49"/>
      <c r="C207" s="48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spans="1:26" ht="15.75" customHeight="1">
      <c r="A208" s="68"/>
      <c r="B208" s="49"/>
      <c r="C208" s="48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spans="1:26" ht="15.75" customHeight="1">
      <c r="A209" s="68"/>
      <c r="B209" s="49"/>
      <c r="C209" s="48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spans="1:26" ht="15.75" customHeight="1">
      <c r="A210" s="68"/>
      <c r="B210" s="49"/>
      <c r="C210" s="48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spans="1:26" ht="15.75" customHeight="1">
      <c r="A211" s="68"/>
      <c r="B211" s="49"/>
      <c r="C211" s="48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spans="1:26" ht="15.75" customHeight="1">
      <c r="A212" s="68"/>
      <c r="B212" s="49"/>
      <c r="C212" s="48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spans="1:26" ht="15.75" customHeight="1">
      <c r="A213" s="68"/>
      <c r="B213" s="49"/>
      <c r="C213" s="48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spans="1:26" ht="15.75" customHeight="1">
      <c r="A214" s="68"/>
      <c r="B214" s="49"/>
      <c r="C214" s="48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spans="1:26" ht="15.75" customHeight="1">
      <c r="A215" s="68"/>
      <c r="B215" s="49"/>
      <c r="C215" s="48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spans="1:26" ht="15.75" customHeight="1">
      <c r="A216" s="68"/>
      <c r="B216" s="49"/>
      <c r="C216" s="48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spans="1:26" ht="15.75" customHeight="1">
      <c r="A217" s="68"/>
      <c r="B217" s="49"/>
      <c r="C217" s="48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spans="1:26" ht="15.75" customHeight="1">
      <c r="A218" s="68"/>
      <c r="B218" s="49"/>
      <c r="C218" s="48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spans="1:26" ht="15.75" customHeight="1">
      <c r="A219" s="68"/>
      <c r="B219" s="49"/>
      <c r="C219" s="48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spans="1:26" ht="15.75" customHeight="1">
      <c r="A220" s="68"/>
      <c r="B220" s="49"/>
      <c r="C220" s="48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spans="1:26" ht="15.75" customHeight="1">
      <c r="A221" s="68"/>
      <c r="B221" s="49"/>
      <c r="C221" s="48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spans="1:26" ht="15.75" customHeight="1">
      <c r="A222" s="68"/>
      <c r="B222" s="49"/>
      <c r="C222" s="48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spans="1:26" ht="15.75" customHeight="1">
      <c r="A223" s="68"/>
      <c r="B223" s="49"/>
      <c r="C223" s="48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spans="1:26" ht="15.75" customHeight="1">
      <c r="A224" s="68"/>
      <c r="B224" s="49"/>
      <c r="C224" s="48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spans="1:26" ht="15.75" customHeight="1">
      <c r="A225" s="68"/>
      <c r="B225" s="49"/>
      <c r="C225" s="48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spans="1:26" ht="15.75" customHeight="1">
      <c r="A226" s="68"/>
      <c r="B226" s="49"/>
      <c r="C226" s="48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spans="1:26" ht="15.75" customHeight="1">
      <c r="A227" s="68"/>
      <c r="B227" s="49"/>
      <c r="C227" s="48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spans="1:26" ht="15.75" customHeight="1">
      <c r="A228" s="68"/>
      <c r="B228" s="49"/>
      <c r="C228" s="48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spans="1:26" ht="15.75" customHeight="1">
      <c r="A229" s="68"/>
      <c r="B229" s="49"/>
      <c r="C229" s="48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spans="1:26" ht="15.75" customHeight="1">
      <c r="A230" s="68"/>
      <c r="B230" s="49"/>
      <c r="C230" s="48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spans="1:26" ht="15.75" customHeight="1">
      <c r="A231" s="68"/>
      <c r="B231" s="49"/>
      <c r="C231" s="48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spans="1:26" ht="15.75" customHeight="1">
      <c r="A232" s="68"/>
      <c r="B232" s="49"/>
      <c r="C232" s="48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spans="1:26" ht="15.75" customHeight="1">
      <c r="A233" s="68"/>
      <c r="B233" s="49"/>
      <c r="C233" s="48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spans="1:26" ht="15.75" customHeight="1">
      <c r="A234" s="68"/>
      <c r="B234" s="49"/>
      <c r="C234" s="48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spans="1:26" ht="15.75" customHeight="1">
      <c r="A235" s="68"/>
      <c r="B235" s="49"/>
      <c r="C235" s="48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spans="1:26" ht="15.75" customHeight="1">
      <c r="A236" s="68"/>
      <c r="B236" s="49"/>
      <c r="C236" s="48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spans="1:26" ht="15.75" customHeight="1">
      <c r="A237" s="68"/>
      <c r="B237" s="49"/>
      <c r="C237" s="48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spans="1:26" ht="15.75" customHeight="1">
      <c r="A238" s="68"/>
      <c r="B238" s="49"/>
      <c r="C238" s="48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spans="1:26" ht="15.75" customHeight="1">
      <c r="A239" s="68"/>
      <c r="B239" s="49"/>
      <c r="C239" s="48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spans="1:26" ht="15.75" customHeight="1">
      <c r="A240" s="68"/>
      <c r="B240" s="49"/>
      <c r="C240" s="48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spans="1:26" ht="15.75" customHeight="1">
      <c r="A241" s="68"/>
      <c r="B241" s="49"/>
      <c r="C241" s="48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spans="1:26" ht="15.75" customHeight="1">
      <c r="A242" s="68"/>
      <c r="B242" s="49"/>
      <c r="C242" s="48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spans="1:26" ht="15.75" customHeight="1">
      <c r="A243" s="68"/>
      <c r="B243" s="49"/>
      <c r="C243" s="48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spans="1:26" ht="15.75" customHeight="1">
      <c r="A244" s="68"/>
      <c r="B244" s="49"/>
      <c r="C244" s="48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spans="1:26" ht="15.75" customHeight="1">
      <c r="A245" s="68"/>
      <c r="B245" s="49"/>
      <c r="C245" s="48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spans="1:26" ht="15.75" customHeight="1">
      <c r="A246" s="68"/>
      <c r="C246" s="48"/>
    </row>
    <row r="247" spans="1:26" ht="15.75" customHeight="1">
      <c r="A247" s="68"/>
      <c r="C247" s="48"/>
    </row>
    <row r="248" spans="1:26" ht="15.75" customHeight="1">
      <c r="A248" s="68"/>
      <c r="C248" s="48"/>
    </row>
    <row r="249" spans="1:26" ht="15.75" customHeight="1">
      <c r="A249" s="68"/>
      <c r="C249" s="48"/>
    </row>
    <row r="250" spans="1:26" ht="15.75" customHeight="1">
      <c r="A250" s="68"/>
      <c r="C250" s="48"/>
    </row>
    <row r="251" spans="1:26" ht="15.75" customHeight="1">
      <c r="A251" s="68"/>
      <c r="C251" s="48"/>
    </row>
    <row r="252" spans="1:26" ht="15.75" customHeight="1">
      <c r="A252" s="68"/>
      <c r="C252" s="48"/>
    </row>
    <row r="253" spans="1:26" ht="15.75" customHeight="1">
      <c r="A253" s="68"/>
      <c r="C253" s="48"/>
    </row>
    <row r="254" spans="1:26" ht="15.75" customHeight="1">
      <c r="A254" s="68"/>
      <c r="C254" s="48"/>
    </row>
    <row r="255" spans="1:26" ht="15.75" customHeight="1">
      <c r="A255" s="68"/>
      <c r="C255" s="48"/>
    </row>
    <row r="256" spans="1:26" ht="15.75" customHeight="1">
      <c r="A256" s="68"/>
      <c r="C256" s="48"/>
    </row>
    <row r="257" spans="1:3" ht="15.75" customHeight="1">
      <c r="A257" s="68"/>
      <c r="C257" s="48"/>
    </row>
    <row r="258" spans="1:3" ht="15.75" customHeight="1">
      <c r="A258" s="68"/>
      <c r="C258" s="48"/>
    </row>
    <row r="259" spans="1:3" ht="15.75" customHeight="1">
      <c r="A259" s="68"/>
      <c r="C259" s="48"/>
    </row>
    <row r="260" spans="1:3" ht="15.75" customHeight="1">
      <c r="A260" s="68"/>
      <c r="C260" s="48"/>
    </row>
    <row r="261" spans="1:3" ht="15.75" customHeight="1">
      <c r="A261" s="68"/>
      <c r="C261" s="48"/>
    </row>
    <row r="262" spans="1:3" ht="15.75" customHeight="1">
      <c r="A262" s="68"/>
      <c r="C262" s="48"/>
    </row>
    <row r="263" spans="1:3" ht="15.75" customHeight="1">
      <c r="A263" s="68"/>
      <c r="C263" s="48"/>
    </row>
    <row r="264" spans="1:3" ht="15.75" customHeight="1">
      <c r="A264" s="68"/>
      <c r="C264" s="48"/>
    </row>
    <row r="265" spans="1:3" ht="15.75" customHeight="1">
      <c r="A265" s="68"/>
      <c r="C265" s="48"/>
    </row>
    <row r="266" spans="1:3" ht="15.75" customHeight="1">
      <c r="A266" s="68"/>
      <c r="C266" s="48"/>
    </row>
    <row r="267" spans="1:3" ht="15.75" customHeight="1">
      <c r="A267" s="68"/>
      <c r="C267" s="48"/>
    </row>
    <row r="268" spans="1:3" ht="15.75" customHeight="1">
      <c r="A268" s="68"/>
      <c r="C268" s="48"/>
    </row>
    <row r="269" spans="1:3" ht="15.75" customHeight="1">
      <c r="A269" s="68"/>
      <c r="C269" s="48"/>
    </row>
    <row r="270" spans="1:3" ht="15.75" customHeight="1">
      <c r="A270" s="68"/>
      <c r="C270" s="48"/>
    </row>
    <row r="271" spans="1:3" ht="15.75" customHeight="1">
      <c r="A271" s="68"/>
      <c r="C271" s="48"/>
    </row>
    <row r="272" spans="1:3" ht="15.75" customHeight="1">
      <c r="A272" s="68"/>
      <c r="C272" s="48"/>
    </row>
    <row r="273" spans="1:3" ht="15.75" customHeight="1">
      <c r="A273" s="68"/>
      <c r="C273" s="48"/>
    </row>
    <row r="274" spans="1:3" ht="15.75" customHeight="1">
      <c r="A274" s="68"/>
      <c r="C274" s="48"/>
    </row>
    <row r="275" spans="1:3" ht="15.75" customHeight="1">
      <c r="A275" s="68"/>
      <c r="C275" s="48"/>
    </row>
    <row r="276" spans="1:3" ht="15.75" customHeight="1">
      <c r="A276" s="68"/>
      <c r="C276" s="48"/>
    </row>
    <row r="277" spans="1:3" ht="15.75" customHeight="1">
      <c r="A277" s="68"/>
      <c r="C277" s="48"/>
    </row>
    <row r="278" spans="1:3" ht="15.75" customHeight="1">
      <c r="A278" s="68"/>
      <c r="C278" s="48"/>
    </row>
    <row r="279" spans="1:3" ht="15.75" customHeight="1">
      <c r="A279" s="68"/>
      <c r="C279" s="48"/>
    </row>
    <row r="280" spans="1:3" ht="15.75" customHeight="1">
      <c r="A280" s="68"/>
      <c r="C280" s="48"/>
    </row>
    <row r="281" spans="1:3" ht="15.75" customHeight="1">
      <c r="A281" s="68"/>
      <c r="C281" s="48"/>
    </row>
    <row r="282" spans="1:3" ht="15.75" customHeight="1">
      <c r="A282" s="68"/>
      <c r="C282" s="48"/>
    </row>
    <row r="283" spans="1:3" ht="15.75" customHeight="1">
      <c r="A283" s="68"/>
      <c r="C283" s="48"/>
    </row>
    <row r="284" spans="1:3" ht="15.75" customHeight="1">
      <c r="A284" s="68"/>
      <c r="C284" s="48"/>
    </row>
    <row r="285" spans="1:3" ht="15.75" customHeight="1">
      <c r="A285" s="68"/>
      <c r="C285" s="48"/>
    </row>
    <row r="286" spans="1:3" ht="15.75" customHeight="1">
      <c r="A286" s="68"/>
      <c r="C286" s="48"/>
    </row>
    <row r="287" spans="1:3" ht="15.75" customHeight="1">
      <c r="A287" s="68"/>
      <c r="C287" s="48"/>
    </row>
    <row r="288" spans="1:3" ht="15.75" customHeight="1">
      <c r="A288" s="68"/>
      <c r="C288" s="48"/>
    </row>
    <row r="289" spans="1:3" ht="15.75" customHeight="1">
      <c r="A289" s="68"/>
      <c r="C289" s="48"/>
    </row>
    <row r="290" spans="1:3" ht="15.75" customHeight="1">
      <c r="A290" s="68"/>
      <c r="C290" s="48"/>
    </row>
    <row r="291" spans="1:3" ht="15.75" customHeight="1">
      <c r="A291" s="68"/>
      <c r="C291" s="48"/>
    </row>
    <row r="292" spans="1:3" ht="15.75" customHeight="1">
      <c r="A292" s="68"/>
      <c r="C292" s="48"/>
    </row>
    <row r="293" spans="1:3" ht="15.75" customHeight="1">
      <c r="A293" s="68"/>
      <c r="C293" s="48"/>
    </row>
    <row r="294" spans="1:3" ht="15.75" customHeight="1">
      <c r="A294" s="68"/>
      <c r="C294" s="48"/>
    </row>
    <row r="295" spans="1:3" ht="15.75" customHeight="1">
      <c r="A295" s="68"/>
      <c r="C295" s="48"/>
    </row>
    <row r="296" spans="1:3" ht="15.75" customHeight="1">
      <c r="A296" s="68"/>
      <c r="C296" s="48"/>
    </row>
    <row r="297" spans="1:3" ht="15.75" customHeight="1">
      <c r="A297" s="68"/>
      <c r="C297" s="48"/>
    </row>
    <row r="298" spans="1:3" ht="15.75" customHeight="1">
      <c r="A298" s="68"/>
      <c r="C298" s="48"/>
    </row>
    <row r="299" spans="1:3" ht="15.75" customHeight="1">
      <c r="A299" s="68"/>
      <c r="C299" s="48"/>
    </row>
    <row r="300" spans="1:3" ht="15.75" customHeight="1">
      <c r="A300" s="68"/>
      <c r="C300" s="48"/>
    </row>
    <row r="301" spans="1:3" ht="15.75" customHeight="1">
      <c r="A301" s="68"/>
      <c r="C301" s="48"/>
    </row>
    <row r="302" spans="1:3" ht="15.75" customHeight="1">
      <c r="A302" s="68"/>
      <c r="C302" s="48"/>
    </row>
    <row r="303" spans="1:3" ht="15.75" customHeight="1">
      <c r="A303" s="68"/>
      <c r="C303" s="48"/>
    </row>
    <row r="304" spans="1:3" ht="15.75" customHeight="1">
      <c r="A304" s="68"/>
      <c r="C304" s="48"/>
    </row>
    <row r="305" spans="1:3" ht="15.75" customHeight="1">
      <c r="A305" s="68"/>
      <c r="C305" s="48"/>
    </row>
    <row r="306" spans="1:3" ht="15.75" customHeight="1">
      <c r="A306" s="68"/>
      <c r="C306" s="48"/>
    </row>
    <row r="307" spans="1:3" ht="15.75" customHeight="1">
      <c r="A307" s="68"/>
      <c r="C307" s="48"/>
    </row>
    <row r="308" spans="1:3" ht="15.75" customHeight="1">
      <c r="A308" s="68"/>
      <c r="C308" s="48"/>
    </row>
    <row r="309" spans="1:3" ht="15.75" customHeight="1">
      <c r="A309" s="68"/>
      <c r="C309" s="48"/>
    </row>
    <row r="310" spans="1:3" ht="15.75" customHeight="1">
      <c r="A310" s="68"/>
      <c r="C310" s="48"/>
    </row>
    <row r="311" spans="1:3" ht="15.75" customHeight="1">
      <c r="A311" s="68"/>
      <c r="C311" s="48"/>
    </row>
    <row r="312" spans="1:3" ht="15.75" customHeight="1">
      <c r="A312" s="68"/>
      <c r="C312" s="48"/>
    </row>
    <row r="313" spans="1:3" ht="15.75" customHeight="1">
      <c r="A313" s="68"/>
      <c r="C313" s="48"/>
    </row>
    <row r="314" spans="1:3" ht="15.75" customHeight="1">
      <c r="A314" s="68"/>
      <c r="C314" s="48"/>
    </row>
    <row r="315" spans="1:3" ht="15.75" customHeight="1">
      <c r="A315" s="68"/>
      <c r="C315" s="48"/>
    </row>
    <row r="316" spans="1:3" ht="15.75" customHeight="1">
      <c r="A316" s="68"/>
      <c r="C316" s="48"/>
    </row>
    <row r="317" spans="1:3" ht="15.75" customHeight="1">
      <c r="A317" s="68"/>
      <c r="C317" s="48"/>
    </row>
    <row r="318" spans="1:3" ht="15.75" customHeight="1">
      <c r="A318" s="68"/>
      <c r="C318" s="48"/>
    </row>
    <row r="319" spans="1:3" ht="15.75" customHeight="1">
      <c r="A319" s="68"/>
      <c r="C319" s="48"/>
    </row>
    <row r="320" spans="1:3" ht="15.75" customHeight="1">
      <c r="A320" s="68"/>
      <c r="C320" s="48"/>
    </row>
    <row r="321" spans="1:3" ht="15.75" customHeight="1">
      <c r="A321" s="68"/>
      <c r="C321" s="48"/>
    </row>
    <row r="322" spans="1:3" ht="15.75" customHeight="1">
      <c r="A322" s="68"/>
      <c r="C322" s="48"/>
    </row>
    <row r="323" spans="1:3" ht="15.75" customHeight="1">
      <c r="A323" s="68"/>
      <c r="C323" s="48"/>
    </row>
    <row r="324" spans="1:3" ht="15.75" customHeight="1">
      <c r="A324" s="68"/>
      <c r="C324" s="48"/>
    </row>
    <row r="325" spans="1:3" ht="15.75" customHeight="1">
      <c r="A325" s="68"/>
      <c r="C325" s="48"/>
    </row>
    <row r="326" spans="1:3" ht="15.75" customHeight="1">
      <c r="A326" s="68"/>
      <c r="C326" s="48"/>
    </row>
    <row r="327" spans="1:3" ht="15.75" customHeight="1">
      <c r="A327" s="68"/>
      <c r="C327" s="48"/>
    </row>
    <row r="328" spans="1:3" ht="15.75" customHeight="1">
      <c r="A328" s="68"/>
      <c r="C328" s="48"/>
    </row>
    <row r="329" spans="1:3" ht="15.75" customHeight="1">
      <c r="A329" s="68"/>
      <c r="C329" s="48"/>
    </row>
    <row r="330" spans="1:3" ht="15.75" customHeight="1">
      <c r="A330" s="68"/>
      <c r="C330" s="48"/>
    </row>
    <row r="331" spans="1:3" ht="15.75" customHeight="1">
      <c r="A331" s="68"/>
      <c r="C331" s="48"/>
    </row>
    <row r="332" spans="1:3" ht="15.75" customHeight="1">
      <c r="A332" s="68"/>
      <c r="C332" s="48"/>
    </row>
    <row r="333" spans="1:3" ht="15.75" customHeight="1">
      <c r="A333" s="68"/>
      <c r="C333" s="48"/>
    </row>
    <row r="334" spans="1:3" ht="15.75" customHeight="1">
      <c r="A334" s="68"/>
      <c r="C334" s="48"/>
    </row>
    <row r="335" spans="1:3" ht="15.75" customHeight="1">
      <c r="A335" s="68"/>
      <c r="C335" s="48"/>
    </row>
    <row r="336" spans="1:3" ht="15.75" customHeight="1">
      <c r="A336" s="68"/>
      <c r="C336" s="48"/>
    </row>
    <row r="337" spans="1:3" ht="15.75" customHeight="1">
      <c r="A337" s="68"/>
      <c r="C337" s="48"/>
    </row>
    <row r="338" spans="1:3" ht="15.75" customHeight="1">
      <c r="A338" s="68"/>
      <c r="C338" s="48"/>
    </row>
    <row r="339" spans="1:3" ht="15.75" customHeight="1">
      <c r="A339" s="68"/>
      <c r="C339" s="48"/>
    </row>
    <row r="340" spans="1:3" ht="15.75" customHeight="1">
      <c r="A340" s="68"/>
      <c r="C340" s="48"/>
    </row>
    <row r="341" spans="1:3" ht="15.75" customHeight="1">
      <c r="A341" s="68"/>
      <c r="C341" s="48"/>
    </row>
    <row r="342" spans="1:3" ht="15.75" customHeight="1">
      <c r="A342" s="68"/>
      <c r="C342" s="48"/>
    </row>
    <row r="343" spans="1:3" ht="15.75" customHeight="1">
      <c r="A343" s="68"/>
      <c r="C343" s="48"/>
    </row>
    <row r="344" spans="1:3" ht="15.75" customHeight="1">
      <c r="A344" s="68"/>
      <c r="C344" s="48"/>
    </row>
    <row r="345" spans="1:3" ht="15.75" customHeight="1">
      <c r="A345" s="68"/>
      <c r="C345" s="48"/>
    </row>
    <row r="346" spans="1:3" ht="15.75" customHeight="1">
      <c r="A346" s="68"/>
      <c r="C346" s="48"/>
    </row>
    <row r="347" spans="1:3" ht="15.75" customHeight="1">
      <c r="A347" s="68"/>
      <c r="C347" s="48"/>
    </row>
    <row r="348" spans="1:3" ht="15.75" customHeight="1">
      <c r="A348" s="68"/>
      <c r="C348" s="48"/>
    </row>
    <row r="349" spans="1:3" ht="15.75" customHeight="1">
      <c r="A349" s="68"/>
      <c r="C349" s="48"/>
    </row>
    <row r="350" spans="1:3" ht="15.75" customHeight="1">
      <c r="A350" s="68"/>
      <c r="C350" s="48"/>
    </row>
    <row r="351" spans="1:3" ht="15.75" customHeight="1">
      <c r="A351" s="68"/>
      <c r="C351" s="48"/>
    </row>
    <row r="352" spans="1:3" ht="15.75" customHeight="1">
      <c r="A352" s="68"/>
      <c r="C352" s="48"/>
    </row>
    <row r="353" spans="1:3" ht="15.75" customHeight="1">
      <c r="A353" s="68"/>
      <c r="C353" s="48"/>
    </row>
    <row r="354" spans="1:3" ht="15.75" customHeight="1">
      <c r="A354" s="68"/>
      <c r="C354" s="48"/>
    </row>
    <row r="355" spans="1:3" ht="15.75" customHeight="1">
      <c r="A355" s="68"/>
      <c r="C355" s="48"/>
    </row>
    <row r="356" spans="1:3" ht="15.75" customHeight="1">
      <c r="A356" s="68"/>
      <c r="C356" s="48"/>
    </row>
    <row r="357" spans="1:3" ht="15.75" customHeight="1">
      <c r="A357" s="68"/>
      <c r="C357" s="48"/>
    </row>
    <row r="358" spans="1:3" ht="15.75" customHeight="1">
      <c r="A358" s="68"/>
      <c r="C358" s="48"/>
    </row>
    <row r="359" spans="1:3" ht="15.75" customHeight="1">
      <c r="A359" s="68"/>
      <c r="C359" s="48"/>
    </row>
    <row r="360" spans="1:3" ht="15.75" customHeight="1">
      <c r="A360" s="68"/>
      <c r="C360" s="48"/>
    </row>
    <row r="361" spans="1:3" ht="15.75" customHeight="1">
      <c r="A361" s="68"/>
      <c r="C361" s="48"/>
    </row>
    <row r="362" spans="1:3" ht="15.75" customHeight="1">
      <c r="A362" s="68"/>
      <c r="C362" s="48"/>
    </row>
    <row r="363" spans="1:3" ht="15.75" customHeight="1">
      <c r="A363" s="68"/>
      <c r="C363" s="48"/>
    </row>
    <row r="364" spans="1:3" ht="15.75" customHeight="1">
      <c r="A364" s="68"/>
      <c r="C364" s="48"/>
    </row>
    <row r="365" spans="1:3" ht="15.75" customHeight="1">
      <c r="A365" s="68"/>
      <c r="C365" s="48"/>
    </row>
    <row r="366" spans="1:3" ht="15.75" customHeight="1">
      <c r="A366" s="68"/>
      <c r="C366" s="48"/>
    </row>
    <row r="367" spans="1:3" ht="15.75" customHeight="1">
      <c r="A367" s="68"/>
      <c r="C367" s="48"/>
    </row>
    <row r="368" spans="1:3" ht="15.75" customHeight="1">
      <c r="A368" s="68"/>
      <c r="C368" s="48"/>
    </row>
    <row r="369" spans="1:3" ht="15.75" customHeight="1">
      <c r="A369" s="68"/>
      <c r="C369" s="48"/>
    </row>
    <row r="370" spans="1:3" ht="15.75" customHeight="1">
      <c r="A370" s="68"/>
      <c r="C370" s="48"/>
    </row>
    <row r="371" spans="1:3" ht="15.75" customHeight="1">
      <c r="A371" s="68"/>
      <c r="C371" s="48"/>
    </row>
    <row r="372" spans="1:3" ht="15.75" customHeight="1">
      <c r="A372" s="68"/>
      <c r="C372" s="48"/>
    </row>
    <row r="373" spans="1:3" ht="15.75" customHeight="1">
      <c r="A373" s="68"/>
      <c r="C373" s="48"/>
    </row>
    <row r="374" spans="1:3" ht="15.75" customHeight="1">
      <c r="A374" s="68"/>
      <c r="C374" s="48"/>
    </row>
    <row r="375" spans="1:3" ht="15.75" customHeight="1">
      <c r="A375" s="68"/>
      <c r="C375" s="48"/>
    </row>
    <row r="376" spans="1:3" ht="15.75" customHeight="1">
      <c r="A376" s="68"/>
      <c r="C376" s="48"/>
    </row>
    <row r="377" spans="1:3" ht="15.75" customHeight="1">
      <c r="A377" s="68"/>
      <c r="C377" s="48"/>
    </row>
    <row r="378" spans="1:3" ht="15.75" customHeight="1">
      <c r="A378" s="68"/>
      <c r="C378" s="48"/>
    </row>
    <row r="379" spans="1:3" ht="15.75" customHeight="1">
      <c r="A379" s="68"/>
      <c r="C379" s="48"/>
    </row>
    <row r="380" spans="1:3" ht="15.75" customHeight="1">
      <c r="A380" s="68"/>
      <c r="C380" s="48"/>
    </row>
    <row r="381" spans="1:3" ht="15.75" customHeight="1">
      <c r="A381" s="68"/>
      <c r="C381" s="48"/>
    </row>
    <row r="382" spans="1:3" ht="15.75" customHeight="1">
      <c r="A382" s="68"/>
      <c r="C382" s="48"/>
    </row>
    <row r="383" spans="1:3" ht="15.75" customHeight="1">
      <c r="A383" s="68"/>
      <c r="C383" s="48"/>
    </row>
    <row r="384" spans="1:3" ht="15.75" customHeight="1">
      <c r="A384" s="68"/>
      <c r="C384" s="48"/>
    </row>
    <row r="385" spans="1:3" ht="15.75" customHeight="1">
      <c r="A385" s="68"/>
      <c r="C385" s="48"/>
    </row>
    <row r="386" spans="1:3" ht="15.75" customHeight="1">
      <c r="A386" s="68"/>
      <c r="C386" s="48"/>
    </row>
    <row r="387" spans="1:3" ht="15.75" customHeight="1">
      <c r="A387" s="68"/>
      <c r="C387" s="48"/>
    </row>
    <row r="388" spans="1:3" ht="15.75" customHeight="1">
      <c r="A388" s="68"/>
      <c r="C388" s="48"/>
    </row>
    <row r="389" spans="1:3" ht="15.75" customHeight="1">
      <c r="A389" s="68"/>
      <c r="C389" s="48"/>
    </row>
    <row r="390" spans="1:3" ht="15.75" customHeight="1">
      <c r="A390" s="68"/>
      <c r="C390" s="48"/>
    </row>
    <row r="391" spans="1:3" ht="15.75" customHeight="1">
      <c r="A391" s="68"/>
      <c r="C391" s="48"/>
    </row>
    <row r="392" spans="1:3" ht="15.75" customHeight="1">
      <c r="A392" s="68"/>
      <c r="C392" s="48"/>
    </row>
    <row r="393" spans="1:3" ht="15.75" customHeight="1">
      <c r="A393" s="68"/>
      <c r="C393" s="48"/>
    </row>
    <row r="394" spans="1:3" ht="15.75" customHeight="1">
      <c r="A394" s="68"/>
      <c r="C394" s="48"/>
    </row>
    <row r="395" spans="1:3" ht="15.75" customHeight="1">
      <c r="A395" s="68"/>
      <c r="C395" s="48"/>
    </row>
    <row r="396" spans="1:3" ht="15.75" customHeight="1">
      <c r="A396" s="68"/>
      <c r="C396" s="48"/>
    </row>
    <row r="397" spans="1:3" ht="15.75" customHeight="1">
      <c r="A397" s="68"/>
      <c r="C397" s="48"/>
    </row>
    <row r="398" spans="1:3" ht="15.75" customHeight="1">
      <c r="A398" s="68"/>
      <c r="C398" s="48"/>
    </row>
    <row r="399" spans="1:3" ht="15.75" customHeight="1">
      <c r="A399" s="68"/>
      <c r="C399" s="48"/>
    </row>
    <row r="400" spans="1:3" ht="15.75" customHeight="1">
      <c r="A400" s="68"/>
      <c r="C400" s="48"/>
    </row>
    <row r="401" spans="1:3" ht="15.75" customHeight="1">
      <c r="A401" s="68"/>
      <c r="C401" s="48"/>
    </row>
    <row r="402" spans="1:3" ht="15.75" customHeight="1">
      <c r="A402" s="68"/>
      <c r="C402" s="48"/>
    </row>
    <row r="403" spans="1:3" ht="15.75" customHeight="1">
      <c r="A403" s="68"/>
      <c r="C403" s="48"/>
    </row>
    <row r="404" spans="1:3" ht="15.75" customHeight="1">
      <c r="A404" s="68"/>
      <c r="C404" s="48"/>
    </row>
    <row r="405" spans="1:3" ht="15.75" customHeight="1">
      <c r="A405" s="68"/>
      <c r="C405" s="48"/>
    </row>
    <row r="406" spans="1:3" ht="15.75" customHeight="1">
      <c r="A406" s="68"/>
      <c r="C406" s="48"/>
    </row>
    <row r="407" spans="1:3" ht="15.75" customHeight="1">
      <c r="A407" s="68"/>
      <c r="C407" s="48"/>
    </row>
    <row r="408" spans="1:3" ht="15.75" customHeight="1">
      <c r="A408" s="68"/>
      <c r="C408" s="48"/>
    </row>
    <row r="409" spans="1:3" ht="15.75" customHeight="1">
      <c r="A409" s="68"/>
      <c r="C409" s="48"/>
    </row>
    <row r="410" spans="1:3" ht="15.75" customHeight="1">
      <c r="A410" s="68"/>
      <c r="C410" s="48"/>
    </row>
    <row r="411" spans="1:3" ht="15.75" customHeight="1">
      <c r="A411" s="68"/>
      <c r="C411" s="48"/>
    </row>
    <row r="412" spans="1:3" ht="15.75" customHeight="1">
      <c r="A412" s="68"/>
      <c r="C412" s="48"/>
    </row>
    <row r="413" spans="1:3" ht="15.75" customHeight="1">
      <c r="A413" s="68"/>
      <c r="C413" s="48"/>
    </row>
    <row r="414" spans="1:3" ht="15.75" customHeight="1">
      <c r="A414" s="68"/>
      <c r="C414" s="48"/>
    </row>
    <row r="415" spans="1:3" ht="15.75" customHeight="1">
      <c r="A415" s="68"/>
      <c r="C415" s="48"/>
    </row>
    <row r="416" spans="1:3" ht="15.75" customHeight="1">
      <c r="A416" s="68"/>
      <c r="C416" s="48"/>
    </row>
    <row r="417" spans="1:3" ht="15.75" customHeight="1">
      <c r="A417" s="68"/>
      <c r="C417" s="48"/>
    </row>
    <row r="418" spans="1:3" ht="15.75" customHeight="1">
      <c r="A418" s="68"/>
      <c r="C418" s="48"/>
    </row>
    <row r="419" spans="1:3" ht="15.75" customHeight="1">
      <c r="A419" s="68"/>
      <c r="C419" s="48"/>
    </row>
    <row r="420" spans="1:3" ht="15.75" customHeight="1">
      <c r="A420" s="68"/>
      <c r="C420" s="48"/>
    </row>
    <row r="421" spans="1:3" ht="15.75" customHeight="1">
      <c r="A421" s="68"/>
      <c r="C421" s="48"/>
    </row>
    <row r="422" spans="1:3" ht="15.75" customHeight="1">
      <c r="A422" s="68"/>
      <c r="C422" s="48"/>
    </row>
    <row r="423" spans="1:3" ht="15.75" customHeight="1">
      <c r="A423" s="68"/>
      <c r="C423" s="48"/>
    </row>
    <row r="424" spans="1:3" ht="15.75" customHeight="1">
      <c r="A424" s="68"/>
      <c r="C424" s="48"/>
    </row>
    <row r="425" spans="1:3" ht="15.75" customHeight="1">
      <c r="A425" s="68"/>
      <c r="C425" s="48"/>
    </row>
    <row r="426" spans="1:3" ht="15.75" customHeight="1">
      <c r="A426" s="68"/>
      <c r="C426" s="48"/>
    </row>
    <row r="427" spans="1:3" ht="15.75" customHeight="1">
      <c r="A427" s="68"/>
      <c r="C427" s="48"/>
    </row>
    <row r="428" spans="1:3" ht="15.75" customHeight="1">
      <c r="A428" s="68"/>
      <c r="C428" s="48"/>
    </row>
    <row r="429" spans="1:3" ht="15.75" customHeight="1">
      <c r="A429" s="68"/>
      <c r="C429" s="48"/>
    </row>
    <row r="430" spans="1:3" ht="15.75" customHeight="1">
      <c r="A430" s="68"/>
      <c r="C430" s="48"/>
    </row>
    <row r="431" spans="1:3" ht="15.75" customHeight="1">
      <c r="A431" s="68"/>
      <c r="C431" s="48"/>
    </row>
    <row r="432" spans="1:3" ht="15.75" customHeight="1">
      <c r="A432" s="68"/>
      <c r="C432" s="48"/>
    </row>
    <row r="433" spans="1:3" ht="15.75" customHeight="1">
      <c r="A433" s="68"/>
      <c r="C433" s="48"/>
    </row>
    <row r="434" spans="1:3" ht="15.75" customHeight="1">
      <c r="A434" s="68"/>
      <c r="C434" s="48"/>
    </row>
    <row r="435" spans="1:3" ht="15.75" customHeight="1">
      <c r="A435" s="68"/>
      <c r="C435" s="48"/>
    </row>
    <row r="436" spans="1:3" ht="15.75" customHeight="1">
      <c r="A436" s="68"/>
      <c r="C436" s="48"/>
    </row>
    <row r="437" spans="1:3" ht="15.75" customHeight="1">
      <c r="A437" s="68"/>
      <c r="C437" s="48"/>
    </row>
    <row r="438" spans="1:3" ht="15.75" customHeight="1">
      <c r="A438" s="68"/>
      <c r="C438" s="48"/>
    </row>
    <row r="439" spans="1:3" ht="15.75" customHeight="1">
      <c r="A439" s="68"/>
      <c r="C439" s="48"/>
    </row>
    <row r="440" spans="1:3" ht="15.75" customHeight="1">
      <c r="A440" s="68"/>
      <c r="C440" s="48"/>
    </row>
    <row r="441" spans="1:3" ht="15.75" customHeight="1">
      <c r="A441" s="68"/>
      <c r="C441" s="48"/>
    </row>
    <row r="442" spans="1:3" ht="15.75" customHeight="1">
      <c r="A442" s="68"/>
      <c r="C442" s="48"/>
    </row>
    <row r="443" spans="1:3" ht="15.75" customHeight="1">
      <c r="A443" s="68"/>
      <c r="C443" s="48"/>
    </row>
    <row r="444" spans="1:3" ht="15.75" customHeight="1">
      <c r="A444" s="68"/>
      <c r="C444" s="48"/>
    </row>
    <row r="445" spans="1:3" ht="15.75" customHeight="1">
      <c r="A445" s="68"/>
      <c r="C445" s="48"/>
    </row>
    <row r="446" spans="1:3" ht="15.75" customHeight="1">
      <c r="A446" s="68"/>
      <c r="C446" s="48"/>
    </row>
    <row r="447" spans="1:3" ht="15.75" customHeight="1">
      <c r="A447" s="68"/>
      <c r="C447" s="48"/>
    </row>
    <row r="448" spans="1:3" ht="15.75" customHeight="1">
      <c r="A448" s="68"/>
      <c r="C448" s="48"/>
    </row>
    <row r="449" spans="1:3" ht="15.75" customHeight="1">
      <c r="A449" s="68"/>
      <c r="C449" s="48"/>
    </row>
    <row r="450" spans="1:3" ht="15.75" customHeight="1">
      <c r="A450" s="68"/>
      <c r="C450" s="48"/>
    </row>
    <row r="451" spans="1:3" ht="15.75" customHeight="1">
      <c r="A451" s="68"/>
      <c r="C451" s="48"/>
    </row>
    <row r="452" spans="1:3" ht="15.75" customHeight="1">
      <c r="A452" s="68"/>
      <c r="C452" s="48"/>
    </row>
    <row r="453" spans="1:3" ht="15.75" customHeight="1">
      <c r="A453" s="68"/>
      <c r="C453" s="48"/>
    </row>
    <row r="454" spans="1:3" ht="15.75" customHeight="1">
      <c r="A454" s="68"/>
      <c r="C454" s="48"/>
    </row>
    <row r="455" spans="1:3" ht="15.75" customHeight="1">
      <c r="A455" s="68"/>
      <c r="C455" s="48"/>
    </row>
    <row r="456" spans="1:3" ht="15.75" customHeight="1">
      <c r="A456" s="68"/>
      <c r="C456" s="48"/>
    </row>
    <row r="457" spans="1:3" ht="15.75" customHeight="1">
      <c r="A457" s="68"/>
      <c r="C457" s="48"/>
    </row>
    <row r="458" spans="1:3" ht="15.75" customHeight="1">
      <c r="A458" s="68"/>
      <c r="C458" s="48"/>
    </row>
    <row r="459" spans="1:3" ht="15.75" customHeight="1">
      <c r="A459" s="68"/>
      <c r="C459" s="48"/>
    </row>
    <row r="460" spans="1:3" ht="15.75" customHeight="1">
      <c r="A460" s="68"/>
      <c r="C460" s="48"/>
    </row>
    <row r="461" spans="1:3" ht="15.75" customHeight="1">
      <c r="A461" s="68"/>
      <c r="C461" s="48"/>
    </row>
    <row r="462" spans="1:3" ht="15.75" customHeight="1">
      <c r="A462" s="68"/>
      <c r="C462" s="48"/>
    </row>
    <row r="463" spans="1:3" ht="15.75" customHeight="1">
      <c r="A463" s="68"/>
      <c r="C463" s="48"/>
    </row>
    <row r="464" spans="1:3" ht="15.75" customHeight="1">
      <c r="A464" s="68"/>
      <c r="C464" s="48"/>
    </row>
    <row r="465" spans="1:3" ht="15.75" customHeight="1">
      <c r="A465" s="68"/>
      <c r="C465" s="48"/>
    </row>
    <row r="466" spans="1:3" ht="15.75" customHeight="1">
      <c r="A466" s="68"/>
      <c r="C466" s="48"/>
    </row>
    <row r="467" spans="1:3" ht="15.75" customHeight="1">
      <c r="A467" s="68"/>
      <c r="C467" s="48"/>
    </row>
    <row r="468" spans="1:3" ht="15.75" customHeight="1">
      <c r="A468" s="68"/>
      <c r="C468" s="48"/>
    </row>
    <row r="469" spans="1:3" ht="15.75" customHeight="1">
      <c r="A469" s="68"/>
      <c r="C469" s="48"/>
    </row>
    <row r="470" spans="1:3" ht="15.75" customHeight="1">
      <c r="A470" s="68"/>
      <c r="C470" s="48"/>
    </row>
    <row r="471" spans="1:3" ht="15.75" customHeight="1">
      <c r="A471" s="68"/>
      <c r="C471" s="48"/>
    </row>
    <row r="472" spans="1:3" ht="15.75" customHeight="1">
      <c r="A472" s="68"/>
      <c r="C472" s="48"/>
    </row>
    <row r="473" spans="1:3" ht="15.75" customHeight="1">
      <c r="A473" s="68"/>
      <c r="C473" s="48"/>
    </row>
    <row r="474" spans="1:3" ht="15.75" customHeight="1">
      <c r="A474" s="68"/>
      <c r="C474" s="48"/>
    </row>
    <row r="475" spans="1:3" ht="15.75" customHeight="1">
      <c r="A475" s="68"/>
      <c r="C475" s="48"/>
    </row>
    <row r="476" spans="1:3" ht="15.75" customHeight="1">
      <c r="A476" s="68"/>
      <c r="C476" s="48"/>
    </row>
    <row r="477" spans="1:3" ht="15.75" customHeight="1">
      <c r="A477" s="68"/>
      <c r="C477" s="48"/>
    </row>
    <row r="478" spans="1:3" ht="15.75" customHeight="1">
      <c r="A478" s="68"/>
      <c r="C478" s="48"/>
    </row>
    <row r="479" spans="1:3" ht="15.75" customHeight="1">
      <c r="A479" s="68"/>
      <c r="C479" s="48"/>
    </row>
    <row r="480" spans="1:3" ht="15.75" customHeight="1">
      <c r="A480" s="68"/>
      <c r="C480" s="48"/>
    </row>
    <row r="481" spans="1:3" ht="15.75" customHeight="1">
      <c r="A481" s="68"/>
      <c r="C481" s="48"/>
    </row>
    <row r="482" spans="1:3" ht="15.75" customHeight="1">
      <c r="A482" s="68"/>
      <c r="C482" s="48"/>
    </row>
    <row r="483" spans="1:3" ht="15.75" customHeight="1">
      <c r="A483" s="68"/>
      <c r="C483" s="48"/>
    </row>
    <row r="484" spans="1:3" ht="15.75" customHeight="1">
      <c r="A484" s="68"/>
      <c r="C484" s="48"/>
    </row>
    <row r="485" spans="1:3" ht="15.75" customHeight="1">
      <c r="A485" s="68"/>
      <c r="C485" s="48"/>
    </row>
    <row r="486" spans="1:3" ht="15.75" customHeight="1">
      <c r="A486" s="68"/>
      <c r="C486" s="48"/>
    </row>
    <row r="487" spans="1:3" ht="15.75" customHeight="1">
      <c r="A487" s="68"/>
      <c r="C487" s="48"/>
    </row>
    <row r="488" spans="1:3" ht="15.75" customHeight="1">
      <c r="A488" s="68"/>
      <c r="C488" s="48"/>
    </row>
    <row r="489" spans="1:3" ht="15.75" customHeight="1">
      <c r="A489" s="68"/>
      <c r="C489" s="48"/>
    </row>
    <row r="490" spans="1:3" ht="15.75" customHeight="1">
      <c r="A490" s="68"/>
      <c r="C490" s="48"/>
    </row>
    <row r="491" spans="1:3" ht="15.75" customHeight="1">
      <c r="A491" s="68"/>
      <c r="C491" s="48"/>
    </row>
    <row r="492" spans="1:3" ht="15.75" customHeight="1">
      <c r="A492" s="68"/>
      <c r="C492" s="48"/>
    </row>
    <row r="493" spans="1:3" ht="15.75" customHeight="1">
      <c r="A493" s="68"/>
      <c r="C493" s="48"/>
    </row>
    <row r="494" spans="1:3" ht="15.75" customHeight="1">
      <c r="A494" s="68"/>
      <c r="C494" s="48"/>
    </row>
    <row r="495" spans="1:3" ht="15.75" customHeight="1">
      <c r="A495" s="68"/>
      <c r="C495" s="48"/>
    </row>
    <row r="496" spans="1:3" ht="15.75" customHeight="1">
      <c r="A496" s="68"/>
      <c r="C496" s="48"/>
    </row>
    <row r="497" spans="1:3" ht="15.75" customHeight="1">
      <c r="A497" s="68"/>
      <c r="C497" s="48"/>
    </row>
    <row r="498" spans="1:3" ht="15.75" customHeight="1">
      <c r="A498" s="68"/>
      <c r="C498" s="48"/>
    </row>
    <row r="499" spans="1:3" ht="15.75" customHeight="1">
      <c r="A499" s="68"/>
      <c r="C499" s="48"/>
    </row>
    <row r="500" spans="1:3" ht="15.75" customHeight="1">
      <c r="A500" s="68"/>
      <c r="C500" s="48"/>
    </row>
    <row r="501" spans="1:3" ht="15.75" customHeight="1">
      <c r="A501" s="68"/>
      <c r="C501" s="48"/>
    </row>
    <row r="502" spans="1:3" ht="15.75" customHeight="1">
      <c r="A502" s="68"/>
      <c r="C502" s="48"/>
    </row>
    <row r="503" spans="1:3" ht="15.75" customHeight="1">
      <c r="A503" s="68"/>
      <c r="C503" s="48"/>
    </row>
    <row r="504" spans="1:3" ht="15.75" customHeight="1">
      <c r="A504" s="68"/>
      <c r="C504" s="48"/>
    </row>
    <row r="505" spans="1:3" ht="15.75" customHeight="1">
      <c r="A505" s="68"/>
      <c r="C505" s="48"/>
    </row>
    <row r="506" spans="1:3" ht="15.75" customHeight="1">
      <c r="A506" s="68"/>
      <c r="C506" s="48"/>
    </row>
    <row r="507" spans="1:3" ht="15.75" customHeight="1">
      <c r="A507" s="68"/>
      <c r="C507" s="48"/>
    </row>
    <row r="508" spans="1:3" ht="15.75" customHeight="1">
      <c r="A508" s="68"/>
      <c r="C508" s="48"/>
    </row>
    <row r="509" spans="1:3" ht="15.75" customHeight="1">
      <c r="A509" s="68"/>
      <c r="C509" s="48"/>
    </row>
    <row r="510" spans="1:3" ht="15.75" customHeight="1">
      <c r="A510" s="68"/>
      <c r="C510" s="48"/>
    </row>
    <row r="511" spans="1:3" ht="15.75" customHeight="1">
      <c r="A511" s="68"/>
      <c r="C511" s="48"/>
    </row>
    <row r="512" spans="1:3" ht="15.75" customHeight="1">
      <c r="A512" s="68"/>
      <c r="C512" s="48"/>
    </row>
    <row r="513" spans="1:3" ht="15.75" customHeight="1">
      <c r="A513" s="68"/>
      <c r="C513" s="48"/>
    </row>
    <row r="514" spans="1:3" ht="15.75" customHeight="1">
      <c r="A514" s="68"/>
      <c r="C514" s="48"/>
    </row>
    <row r="515" spans="1:3" ht="15.75" customHeight="1">
      <c r="A515" s="68"/>
      <c r="C515" s="48"/>
    </row>
    <row r="516" spans="1:3" ht="15.75" customHeight="1">
      <c r="A516" s="68"/>
      <c r="C516" s="48"/>
    </row>
    <row r="517" spans="1:3" ht="15.75" customHeight="1">
      <c r="A517" s="68"/>
      <c r="C517" s="48"/>
    </row>
    <row r="518" spans="1:3" ht="15.75" customHeight="1">
      <c r="A518" s="68"/>
      <c r="C518" s="48"/>
    </row>
    <row r="519" spans="1:3" ht="15.75" customHeight="1">
      <c r="A519" s="68"/>
      <c r="C519" s="48"/>
    </row>
    <row r="520" spans="1:3" ht="15.75" customHeight="1">
      <c r="A520" s="68"/>
      <c r="C520" s="48"/>
    </row>
    <row r="521" spans="1:3" ht="15.75" customHeight="1">
      <c r="A521" s="68"/>
      <c r="C521" s="48"/>
    </row>
    <row r="522" spans="1:3" ht="15.75" customHeight="1">
      <c r="A522" s="68"/>
      <c r="C522" s="48"/>
    </row>
    <row r="523" spans="1:3" ht="15.75" customHeight="1">
      <c r="A523" s="68"/>
      <c r="C523" s="48"/>
    </row>
    <row r="524" spans="1:3" ht="15.75" customHeight="1">
      <c r="A524" s="68"/>
      <c r="C524" s="48"/>
    </row>
    <row r="525" spans="1:3" ht="15.75" customHeight="1">
      <c r="A525" s="68"/>
      <c r="C525" s="48"/>
    </row>
    <row r="526" spans="1:3" ht="15.75" customHeight="1">
      <c r="A526" s="68"/>
      <c r="C526" s="48"/>
    </row>
    <row r="527" spans="1:3" ht="15.75" customHeight="1">
      <c r="A527" s="68"/>
      <c r="C527" s="48"/>
    </row>
    <row r="528" spans="1:3" ht="15.75" customHeight="1">
      <c r="A528" s="68"/>
      <c r="C528" s="48"/>
    </row>
    <row r="529" spans="1:3" ht="15.75" customHeight="1">
      <c r="A529" s="68"/>
      <c r="C529" s="48"/>
    </row>
    <row r="530" spans="1:3" ht="15.75" customHeight="1">
      <c r="A530" s="68"/>
      <c r="C530" s="48"/>
    </row>
    <row r="531" spans="1:3" ht="15.75" customHeight="1">
      <c r="A531" s="68"/>
      <c r="C531" s="48"/>
    </row>
    <row r="532" spans="1:3" ht="15.75" customHeight="1">
      <c r="A532" s="68"/>
      <c r="C532" s="48"/>
    </row>
    <row r="533" spans="1:3" ht="15.75" customHeight="1">
      <c r="A533" s="68"/>
      <c r="C533" s="48"/>
    </row>
    <row r="534" spans="1:3" ht="15.75" customHeight="1">
      <c r="A534" s="68"/>
      <c r="C534" s="48"/>
    </row>
    <row r="535" spans="1:3" ht="15.75" customHeight="1">
      <c r="A535" s="68"/>
      <c r="C535" s="48"/>
    </row>
    <row r="536" spans="1:3" ht="15.75" customHeight="1">
      <c r="A536" s="68"/>
      <c r="C536" s="48"/>
    </row>
    <row r="537" spans="1:3" ht="15.75" customHeight="1">
      <c r="A537" s="68"/>
      <c r="C537" s="48"/>
    </row>
    <row r="538" spans="1:3" ht="15.75" customHeight="1">
      <c r="A538" s="68"/>
      <c r="C538" s="48"/>
    </row>
    <row r="539" spans="1:3" ht="15.75" customHeight="1">
      <c r="A539" s="68"/>
      <c r="C539" s="48"/>
    </row>
    <row r="540" spans="1:3" ht="15.75" customHeight="1">
      <c r="A540" s="68"/>
      <c r="C540" s="48"/>
    </row>
    <row r="541" spans="1:3" ht="15.75" customHeight="1">
      <c r="A541" s="68"/>
      <c r="C541" s="48"/>
    </row>
    <row r="542" spans="1:3" ht="15.75" customHeight="1">
      <c r="A542" s="68"/>
      <c r="C542" s="48"/>
    </row>
    <row r="543" spans="1:3" ht="15.75" customHeight="1">
      <c r="A543" s="68"/>
      <c r="C543" s="48"/>
    </row>
    <row r="544" spans="1:3" ht="15.75" customHeight="1">
      <c r="A544" s="68"/>
      <c r="C544" s="48"/>
    </row>
    <row r="545" spans="1:3" ht="15.75" customHeight="1">
      <c r="A545" s="68"/>
      <c r="C545" s="48"/>
    </row>
    <row r="546" spans="1:3" ht="15.75" customHeight="1">
      <c r="A546" s="68"/>
      <c r="C546" s="48"/>
    </row>
    <row r="547" spans="1:3" ht="15.75" customHeight="1">
      <c r="A547" s="68"/>
      <c r="C547" s="48"/>
    </row>
    <row r="548" spans="1:3" ht="15.75" customHeight="1">
      <c r="A548" s="68"/>
      <c r="C548" s="48"/>
    </row>
    <row r="549" spans="1:3" ht="15.75" customHeight="1">
      <c r="A549" s="68"/>
      <c r="C549" s="48"/>
    </row>
    <row r="550" spans="1:3" ht="15.75" customHeight="1">
      <c r="A550" s="68"/>
      <c r="C550" s="48"/>
    </row>
    <row r="551" spans="1:3" ht="15.75" customHeight="1">
      <c r="A551" s="68"/>
      <c r="C551" s="48"/>
    </row>
    <row r="552" spans="1:3" ht="15.75" customHeight="1">
      <c r="A552" s="68"/>
      <c r="C552" s="48"/>
    </row>
    <row r="553" spans="1:3" ht="15.75" customHeight="1">
      <c r="A553" s="68"/>
      <c r="C553" s="48"/>
    </row>
    <row r="554" spans="1:3" ht="15.75" customHeight="1">
      <c r="A554" s="68"/>
      <c r="C554" s="48"/>
    </row>
    <row r="555" spans="1:3" ht="15.75" customHeight="1">
      <c r="A555" s="68"/>
      <c r="C555" s="48"/>
    </row>
    <row r="556" spans="1:3" ht="15.75" customHeight="1">
      <c r="A556" s="68"/>
      <c r="C556" s="48"/>
    </row>
    <row r="557" spans="1:3" ht="15.75" customHeight="1">
      <c r="A557" s="68"/>
      <c r="C557" s="48"/>
    </row>
    <row r="558" spans="1:3" ht="15.75" customHeight="1">
      <c r="A558" s="68"/>
      <c r="C558" s="48"/>
    </row>
    <row r="559" spans="1:3" ht="15.75" customHeight="1">
      <c r="A559" s="68"/>
      <c r="C559" s="48"/>
    </row>
    <row r="560" spans="1:3" ht="15.75" customHeight="1">
      <c r="A560" s="68"/>
      <c r="C560" s="48"/>
    </row>
    <row r="561" spans="1:3" ht="15.75" customHeight="1">
      <c r="A561" s="68"/>
      <c r="C561" s="48"/>
    </row>
    <row r="562" spans="1:3" ht="15.75" customHeight="1">
      <c r="A562" s="68"/>
      <c r="C562" s="48"/>
    </row>
    <row r="563" spans="1:3" ht="15.75" customHeight="1">
      <c r="A563" s="68"/>
      <c r="C563" s="48"/>
    </row>
    <row r="564" spans="1:3" ht="15.75" customHeight="1">
      <c r="A564" s="68"/>
      <c r="C564" s="48"/>
    </row>
    <row r="565" spans="1:3" ht="15.75" customHeight="1">
      <c r="A565" s="68"/>
      <c r="C565" s="48"/>
    </row>
    <row r="566" spans="1:3" ht="15.75" customHeight="1">
      <c r="A566" s="68"/>
      <c r="C566" s="48"/>
    </row>
    <row r="567" spans="1:3" ht="15.75" customHeight="1">
      <c r="A567" s="68"/>
      <c r="C567" s="48"/>
    </row>
    <row r="568" spans="1:3" ht="15.75" customHeight="1">
      <c r="A568" s="68"/>
      <c r="C568" s="48"/>
    </row>
    <row r="569" spans="1:3" ht="15.75" customHeight="1">
      <c r="A569" s="68"/>
      <c r="C569" s="48"/>
    </row>
    <row r="570" spans="1:3" ht="15.75" customHeight="1">
      <c r="A570" s="68"/>
      <c r="C570" s="48"/>
    </row>
    <row r="571" spans="1:3" ht="15.75" customHeight="1">
      <c r="A571" s="68"/>
      <c r="C571" s="48"/>
    </row>
    <row r="572" spans="1:3" ht="15.75" customHeight="1">
      <c r="A572" s="68"/>
      <c r="C572" s="48"/>
    </row>
    <row r="573" spans="1:3" ht="15.75" customHeight="1">
      <c r="A573" s="68"/>
      <c r="C573" s="48"/>
    </row>
    <row r="574" spans="1:3" ht="15.75" customHeight="1">
      <c r="A574" s="68"/>
      <c r="C574" s="48"/>
    </row>
    <row r="575" spans="1:3" ht="15.75" customHeight="1">
      <c r="A575" s="68"/>
      <c r="C575" s="48"/>
    </row>
    <row r="576" spans="1:3" ht="15.75" customHeight="1">
      <c r="A576" s="68"/>
      <c r="C576" s="48"/>
    </row>
    <row r="577" spans="1:3" ht="15.75" customHeight="1">
      <c r="A577" s="68"/>
      <c r="C577" s="48"/>
    </row>
    <row r="578" spans="1:3" ht="15.75" customHeight="1">
      <c r="A578" s="68"/>
      <c r="C578" s="48"/>
    </row>
    <row r="579" spans="1:3" ht="15.75" customHeight="1">
      <c r="A579" s="68"/>
      <c r="C579" s="48"/>
    </row>
    <row r="580" spans="1:3" ht="15.75" customHeight="1">
      <c r="A580" s="68"/>
      <c r="C580" s="48"/>
    </row>
    <row r="581" spans="1:3" ht="15.75" customHeight="1">
      <c r="A581" s="68"/>
      <c r="C581" s="48"/>
    </row>
    <row r="582" spans="1:3" ht="15.75" customHeight="1">
      <c r="A582" s="68"/>
      <c r="C582" s="48"/>
    </row>
    <row r="583" spans="1:3" ht="15.75" customHeight="1">
      <c r="A583" s="68"/>
      <c r="C583" s="48"/>
    </row>
    <row r="584" spans="1:3" ht="15.75" customHeight="1">
      <c r="A584" s="68"/>
      <c r="C584" s="48"/>
    </row>
    <row r="585" spans="1:3" ht="15.75" customHeight="1">
      <c r="A585" s="68"/>
      <c r="C585" s="48"/>
    </row>
    <row r="586" spans="1:3" ht="15.75" customHeight="1">
      <c r="A586" s="68"/>
      <c r="C586" s="48"/>
    </row>
    <row r="587" spans="1:3" ht="15.75" customHeight="1">
      <c r="A587" s="68"/>
      <c r="C587" s="48"/>
    </row>
    <row r="588" spans="1:3" ht="15.75" customHeight="1">
      <c r="A588" s="68"/>
      <c r="C588" s="48"/>
    </row>
    <row r="589" spans="1:3" ht="15.75" customHeight="1">
      <c r="A589" s="68"/>
      <c r="C589" s="48"/>
    </row>
    <row r="590" spans="1:3" ht="15.75" customHeight="1">
      <c r="A590" s="68"/>
      <c r="C590" s="48"/>
    </row>
    <row r="591" spans="1:3" ht="15.75" customHeight="1">
      <c r="A591" s="68"/>
      <c r="C591" s="48"/>
    </row>
    <row r="592" spans="1:3" ht="15.75" customHeight="1">
      <c r="A592" s="68"/>
      <c r="C592" s="48"/>
    </row>
    <row r="593" spans="1:3" ht="15.75" customHeight="1">
      <c r="A593" s="68"/>
      <c r="C593" s="48"/>
    </row>
    <row r="594" spans="1:3" ht="15.75" customHeight="1">
      <c r="A594" s="68"/>
      <c r="C594" s="48"/>
    </row>
    <row r="595" spans="1:3" ht="15.75" customHeight="1">
      <c r="A595" s="68"/>
      <c r="C595" s="48"/>
    </row>
    <row r="596" spans="1:3" ht="15.75" customHeight="1">
      <c r="A596" s="68"/>
      <c r="C596" s="48"/>
    </row>
    <row r="597" spans="1:3" ht="15.75" customHeight="1">
      <c r="A597" s="68"/>
      <c r="C597" s="48"/>
    </row>
    <row r="598" spans="1:3" ht="15.75" customHeight="1">
      <c r="A598" s="68"/>
      <c r="C598" s="48"/>
    </row>
    <row r="599" spans="1:3" ht="15.75" customHeight="1">
      <c r="A599" s="68"/>
      <c r="C599" s="48"/>
    </row>
    <row r="600" spans="1:3" ht="15.75" customHeight="1">
      <c r="A600" s="68"/>
      <c r="C600" s="48"/>
    </row>
    <row r="601" spans="1:3" ht="15.75" customHeight="1">
      <c r="A601" s="68"/>
      <c r="C601" s="48"/>
    </row>
    <row r="602" spans="1:3" ht="15.75" customHeight="1">
      <c r="A602" s="68"/>
      <c r="C602" s="48"/>
    </row>
    <row r="603" spans="1:3" ht="15.75" customHeight="1">
      <c r="A603" s="68"/>
      <c r="C603" s="48"/>
    </row>
    <row r="604" spans="1:3" ht="15.75" customHeight="1">
      <c r="A604" s="68"/>
      <c r="C604" s="48"/>
    </row>
    <row r="605" spans="1:3" ht="15.75" customHeight="1">
      <c r="A605" s="68"/>
      <c r="C605" s="48"/>
    </row>
    <row r="606" spans="1:3" ht="15.75" customHeight="1">
      <c r="A606" s="68"/>
      <c r="C606" s="48"/>
    </row>
    <row r="607" spans="1:3" ht="15.75" customHeight="1">
      <c r="A607" s="68"/>
      <c r="C607" s="48"/>
    </row>
    <row r="608" spans="1:3" ht="15.75" customHeight="1">
      <c r="A608" s="68"/>
      <c r="C608" s="48"/>
    </row>
    <row r="609" spans="1:3" ht="15.75" customHeight="1">
      <c r="A609" s="68"/>
      <c r="C609" s="48"/>
    </row>
    <row r="610" spans="1:3" ht="15.75" customHeight="1">
      <c r="A610" s="68"/>
      <c r="C610" s="48"/>
    </row>
    <row r="611" spans="1:3" ht="15.75" customHeight="1">
      <c r="A611" s="68"/>
      <c r="C611" s="48"/>
    </row>
    <row r="612" spans="1:3" ht="15.75" customHeight="1">
      <c r="A612" s="68"/>
      <c r="C612" s="48"/>
    </row>
    <row r="613" spans="1:3" ht="15.75" customHeight="1">
      <c r="A613" s="68"/>
      <c r="C613" s="48"/>
    </row>
    <row r="614" spans="1:3" ht="15.75" customHeight="1">
      <c r="A614" s="68"/>
      <c r="C614" s="48"/>
    </row>
    <row r="615" spans="1:3" ht="15.75" customHeight="1">
      <c r="A615" s="68"/>
      <c r="C615" s="48"/>
    </row>
    <row r="616" spans="1:3" ht="15.75" customHeight="1">
      <c r="A616" s="68"/>
      <c r="C616" s="48"/>
    </row>
    <row r="617" spans="1:3" ht="15.75" customHeight="1">
      <c r="A617" s="68"/>
      <c r="C617" s="48"/>
    </row>
    <row r="618" spans="1:3" ht="15.75" customHeight="1">
      <c r="A618" s="68"/>
      <c r="C618" s="48"/>
    </row>
    <row r="619" spans="1:3" ht="15.75" customHeight="1">
      <c r="A619" s="68"/>
      <c r="C619" s="48"/>
    </row>
    <row r="620" spans="1:3" ht="15.75" customHeight="1">
      <c r="A620" s="68"/>
      <c r="C620" s="48"/>
    </row>
    <row r="621" spans="1:3" ht="15.75" customHeight="1">
      <c r="A621" s="68"/>
      <c r="C621" s="48"/>
    </row>
    <row r="622" spans="1:3" ht="15.75" customHeight="1">
      <c r="A622" s="68"/>
      <c r="C622" s="48"/>
    </row>
    <row r="623" spans="1:3" ht="15.75" customHeight="1">
      <c r="A623" s="68"/>
      <c r="C623" s="48"/>
    </row>
    <row r="624" spans="1:3" ht="15.75" customHeight="1">
      <c r="A624" s="68"/>
      <c r="C624" s="48"/>
    </row>
    <row r="625" spans="1:3" ht="15.75" customHeight="1">
      <c r="A625" s="68"/>
      <c r="C625" s="48"/>
    </row>
    <row r="626" spans="1:3" ht="15.75" customHeight="1">
      <c r="A626" s="68"/>
      <c r="C626" s="48"/>
    </row>
    <row r="627" spans="1:3" ht="15.75" customHeight="1">
      <c r="A627" s="68"/>
      <c r="C627" s="48"/>
    </row>
    <row r="628" spans="1:3" ht="15.75" customHeight="1">
      <c r="A628" s="68"/>
      <c r="C628" s="48"/>
    </row>
    <row r="629" spans="1:3" ht="15.75" customHeight="1">
      <c r="A629" s="68"/>
      <c r="C629" s="48"/>
    </row>
    <row r="630" spans="1:3" ht="15.75" customHeight="1">
      <c r="A630" s="68"/>
      <c r="C630" s="48"/>
    </row>
    <row r="631" spans="1:3" ht="15.75" customHeight="1">
      <c r="A631" s="68"/>
      <c r="C631" s="48"/>
    </row>
    <row r="632" spans="1:3" ht="15.75" customHeight="1">
      <c r="A632" s="68"/>
      <c r="C632" s="48"/>
    </row>
    <row r="633" spans="1:3" ht="15.75" customHeight="1">
      <c r="A633" s="68"/>
      <c r="C633" s="48"/>
    </row>
    <row r="634" spans="1:3" ht="15.75" customHeight="1">
      <c r="A634" s="68"/>
      <c r="C634" s="48"/>
    </row>
    <row r="635" spans="1:3" ht="15.75" customHeight="1">
      <c r="A635" s="68"/>
      <c r="C635" s="48"/>
    </row>
    <row r="636" spans="1:3" ht="15.75" customHeight="1">
      <c r="A636" s="68"/>
      <c r="C636" s="48"/>
    </row>
    <row r="637" spans="1:3" ht="15.75" customHeight="1">
      <c r="A637" s="68"/>
      <c r="C637" s="48"/>
    </row>
    <row r="638" spans="1:3" ht="15.75" customHeight="1">
      <c r="A638" s="68"/>
      <c r="C638" s="48"/>
    </row>
    <row r="639" spans="1:3" ht="15.75" customHeight="1">
      <c r="A639" s="68"/>
      <c r="C639" s="48"/>
    </row>
    <row r="640" spans="1:3" ht="15.75" customHeight="1">
      <c r="A640" s="68"/>
      <c r="C640" s="48"/>
    </row>
    <row r="641" spans="1:3" ht="15.75" customHeight="1">
      <c r="A641" s="68"/>
      <c r="C641" s="48"/>
    </row>
    <row r="642" spans="1:3" ht="15.75" customHeight="1">
      <c r="A642" s="68"/>
      <c r="C642" s="48"/>
    </row>
    <row r="643" spans="1:3" ht="15.75" customHeight="1">
      <c r="A643" s="68"/>
      <c r="C643" s="48"/>
    </row>
    <row r="644" spans="1:3" ht="15.75" customHeight="1">
      <c r="A644" s="68"/>
      <c r="C644" s="48"/>
    </row>
    <row r="645" spans="1:3" ht="15.75" customHeight="1">
      <c r="A645" s="68"/>
      <c r="C645" s="48"/>
    </row>
    <row r="646" spans="1:3" ht="15.75" customHeight="1">
      <c r="A646" s="68"/>
      <c r="C646" s="48"/>
    </row>
    <row r="647" spans="1:3" ht="15.75" customHeight="1">
      <c r="A647" s="68"/>
      <c r="C647" s="48"/>
    </row>
    <row r="648" spans="1:3" ht="15.75" customHeight="1">
      <c r="A648" s="68"/>
      <c r="C648" s="48"/>
    </row>
    <row r="649" spans="1:3" ht="15.75" customHeight="1">
      <c r="A649" s="68"/>
      <c r="C649" s="48"/>
    </row>
    <row r="650" spans="1:3" ht="15.75" customHeight="1">
      <c r="A650" s="68"/>
      <c r="C650" s="48"/>
    </row>
    <row r="651" spans="1:3" ht="15.75" customHeight="1">
      <c r="A651" s="68"/>
      <c r="C651" s="48"/>
    </row>
    <row r="652" spans="1:3" ht="15.75" customHeight="1">
      <c r="A652" s="68"/>
      <c r="C652" s="48"/>
    </row>
    <row r="653" spans="1:3" ht="15.75" customHeight="1">
      <c r="A653" s="68"/>
      <c r="C653" s="48"/>
    </row>
    <row r="654" spans="1:3" ht="15.75" customHeight="1">
      <c r="A654" s="68"/>
      <c r="C654" s="48"/>
    </row>
    <row r="655" spans="1:3" ht="15.75" customHeight="1">
      <c r="A655" s="68"/>
      <c r="C655" s="48"/>
    </row>
    <row r="656" spans="1:3" ht="15.75" customHeight="1">
      <c r="A656" s="68"/>
      <c r="C656" s="48"/>
    </row>
    <row r="657" spans="1:3" ht="15.75" customHeight="1">
      <c r="A657" s="68"/>
      <c r="C657" s="48"/>
    </row>
    <row r="658" spans="1:3" ht="15.75" customHeight="1">
      <c r="A658" s="68"/>
      <c r="C658" s="48"/>
    </row>
    <row r="659" spans="1:3" ht="15.75" customHeight="1">
      <c r="A659" s="68"/>
      <c r="C659" s="48"/>
    </row>
    <row r="660" spans="1:3" ht="15.75" customHeight="1">
      <c r="A660" s="68"/>
      <c r="C660" s="48"/>
    </row>
    <row r="661" spans="1:3" ht="15.75" customHeight="1">
      <c r="A661" s="68"/>
      <c r="C661" s="48"/>
    </row>
    <row r="662" spans="1:3" ht="15.75" customHeight="1">
      <c r="A662" s="68"/>
      <c r="C662" s="48"/>
    </row>
    <row r="663" spans="1:3" ht="15.75" customHeight="1">
      <c r="A663" s="68"/>
      <c r="C663" s="48"/>
    </row>
    <row r="664" spans="1:3" ht="15.75" customHeight="1">
      <c r="A664" s="68"/>
      <c r="C664" s="48"/>
    </row>
    <row r="665" spans="1:3" ht="15.75" customHeight="1">
      <c r="A665" s="68"/>
      <c r="C665" s="48"/>
    </row>
    <row r="666" spans="1:3" ht="15.75" customHeight="1">
      <c r="A666" s="68"/>
      <c r="C666" s="48"/>
    </row>
    <row r="667" spans="1:3" ht="15.75" customHeight="1">
      <c r="A667" s="68"/>
      <c r="C667" s="48"/>
    </row>
    <row r="668" spans="1:3" ht="15.75" customHeight="1">
      <c r="A668" s="68"/>
      <c r="C668" s="48"/>
    </row>
    <row r="669" spans="1:3" ht="15.75" customHeight="1">
      <c r="A669" s="68"/>
      <c r="C669" s="48"/>
    </row>
    <row r="670" spans="1:3" ht="15.75" customHeight="1">
      <c r="A670" s="68"/>
      <c r="C670" s="48"/>
    </row>
    <row r="671" spans="1:3" ht="15.75" customHeight="1">
      <c r="A671" s="68"/>
      <c r="C671" s="48"/>
    </row>
    <row r="672" spans="1:3" ht="15.75" customHeight="1">
      <c r="A672" s="68"/>
      <c r="C672" s="48"/>
    </row>
    <row r="673" spans="1:3" ht="15.75" customHeight="1">
      <c r="A673" s="68"/>
      <c r="C673" s="48"/>
    </row>
    <row r="674" spans="1:3" ht="15.75" customHeight="1">
      <c r="A674" s="68"/>
      <c r="C674" s="48"/>
    </row>
    <row r="675" spans="1:3" ht="15.75" customHeight="1">
      <c r="A675" s="68"/>
      <c r="C675" s="48"/>
    </row>
    <row r="676" spans="1:3" ht="15.75" customHeight="1">
      <c r="A676" s="68"/>
      <c r="C676" s="48"/>
    </row>
    <row r="677" spans="1:3" ht="15.75" customHeight="1">
      <c r="A677" s="68"/>
      <c r="C677" s="48"/>
    </row>
    <row r="678" spans="1:3" ht="15.75" customHeight="1">
      <c r="A678" s="68"/>
      <c r="C678" s="48"/>
    </row>
    <row r="679" spans="1:3" ht="15.75" customHeight="1">
      <c r="A679" s="68"/>
      <c r="C679" s="48"/>
    </row>
    <row r="680" spans="1:3" ht="15.75" customHeight="1">
      <c r="A680" s="68"/>
      <c r="C680" s="48"/>
    </row>
    <row r="681" spans="1:3" ht="15.75" customHeight="1">
      <c r="A681" s="68"/>
      <c r="C681" s="48"/>
    </row>
    <row r="682" spans="1:3" ht="15.75" customHeight="1">
      <c r="A682" s="68"/>
      <c r="C682" s="48"/>
    </row>
    <row r="683" spans="1:3" ht="15.75" customHeight="1">
      <c r="A683" s="68"/>
      <c r="C683" s="48"/>
    </row>
    <row r="684" spans="1:3" ht="15.75" customHeight="1">
      <c r="A684" s="68"/>
      <c r="C684" s="48"/>
    </row>
    <row r="685" spans="1:3" ht="15.75" customHeight="1">
      <c r="A685" s="68"/>
      <c r="C685" s="48"/>
    </row>
    <row r="686" spans="1:3" ht="15.75" customHeight="1">
      <c r="A686" s="68"/>
      <c r="C686" s="48"/>
    </row>
    <row r="687" spans="1:3" ht="15.75" customHeight="1">
      <c r="A687" s="68"/>
      <c r="C687" s="48"/>
    </row>
    <row r="688" spans="1:3" ht="15.75" customHeight="1">
      <c r="A688" s="68"/>
      <c r="C688" s="48"/>
    </row>
    <row r="689" spans="1:3" ht="15.75" customHeight="1">
      <c r="A689" s="68"/>
      <c r="C689" s="48"/>
    </row>
    <row r="690" spans="1:3" ht="15.75" customHeight="1">
      <c r="A690" s="68"/>
      <c r="C690" s="48"/>
    </row>
    <row r="691" spans="1:3" ht="15.75" customHeight="1">
      <c r="A691" s="68"/>
      <c r="C691" s="48"/>
    </row>
    <row r="692" spans="1:3" ht="15.75" customHeight="1">
      <c r="A692" s="68"/>
      <c r="C692" s="48"/>
    </row>
    <row r="693" spans="1:3" ht="15.75" customHeight="1">
      <c r="A693" s="68"/>
      <c r="C693" s="48"/>
    </row>
    <row r="694" spans="1:3" ht="15.75" customHeight="1">
      <c r="A694" s="68"/>
      <c r="C694" s="48"/>
    </row>
    <row r="695" spans="1:3" ht="15.75" customHeight="1">
      <c r="A695" s="68"/>
      <c r="C695" s="48"/>
    </row>
    <row r="696" spans="1:3" ht="15.75" customHeight="1">
      <c r="A696" s="68"/>
      <c r="C696" s="48"/>
    </row>
    <row r="697" spans="1:3" ht="15.75" customHeight="1">
      <c r="A697" s="68"/>
      <c r="C697" s="48"/>
    </row>
    <row r="698" spans="1:3" ht="15.75" customHeight="1">
      <c r="A698" s="68"/>
      <c r="C698" s="48"/>
    </row>
    <row r="699" spans="1:3" ht="15.75" customHeight="1">
      <c r="A699" s="68"/>
      <c r="C699" s="48"/>
    </row>
    <row r="700" spans="1:3" ht="15.75" customHeight="1">
      <c r="A700" s="68"/>
      <c r="C700" s="48"/>
    </row>
    <row r="701" spans="1:3" ht="15.75" customHeight="1">
      <c r="A701" s="68"/>
      <c r="C701" s="48"/>
    </row>
    <row r="702" spans="1:3" ht="15.75" customHeight="1">
      <c r="A702" s="68"/>
      <c r="C702" s="48"/>
    </row>
    <row r="703" spans="1:3" ht="15.75" customHeight="1">
      <c r="A703" s="68"/>
      <c r="C703" s="48"/>
    </row>
    <row r="704" spans="1:3" ht="15.75" customHeight="1">
      <c r="A704" s="68"/>
      <c r="C704" s="48"/>
    </row>
    <row r="705" spans="1:3" ht="15.75" customHeight="1">
      <c r="A705" s="68"/>
      <c r="C705" s="48"/>
    </row>
    <row r="706" spans="1:3" ht="15.75" customHeight="1">
      <c r="A706" s="68"/>
      <c r="C706" s="48"/>
    </row>
    <row r="707" spans="1:3" ht="15.75" customHeight="1">
      <c r="A707" s="68"/>
      <c r="C707" s="48"/>
    </row>
    <row r="708" spans="1:3" ht="15.75" customHeight="1">
      <c r="A708" s="68"/>
      <c r="C708" s="48"/>
    </row>
    <row r="709" spans="1:3" ht="15.75" customHeight="1">
      <c r="A709" s="68"/>
      <c r="C709" s="48"/>
    </row>
    <row r="710" spans="1:3" ht="15.75" customHeight="1">
      <c r="A710" s="68"/>
      <c r="C710" s="48"/>
    </row>
    <row r="711" spans="1:3" ht="15.75" customHeight="1">
      <c r="A711" s="68"/>
      <c r="C711" s="48"/>
    </row>
    <row r="712" spans="1:3" ht="15.75" customHeight="1">
      <c r="A712" s="68"/>
      <c r="C712" s="48"/>
    </row>
    <row r="713" spans="1:3" ht="15.75" customHeight="1">
      <c r="A713" s="68"/>
      <c r="C713" s="48"/>
    </row>
    <row r="714" spans="1:3" ht="15.75" customHeight="1">
      <c r="A714" s="68"/>
      <c r="C714" s="48"/>
    </row>
    <row r="715" spans="1:3" ht="15.75" customHeight="1">
      <c r="A715" s="68"/>
      <c r="C715" s="48"/>
    </row>
    <row r="716" spans="1:3" ht="15.75" customHeight="1">
      <c r="A716" s="68"/>
      <c r="C716" s="48"/>
    </row>
    <row r="717" spans="1:3" ht="15.75" customHeight="1">
      <c r="A717" s="68"/>
      <c r="C717" s="48"/>
    </row>
    <row r="718" spans="1:3" ht="15.75" customHeight="1">
      <c r="A718" s="68"/>
      <c r="C718" s="48"/>
    </row>
    <row r="719" spans="1:3" ht="15.75" customHeight="1">
      <c r="A719" s="68"/>
      <c r="C719" s="48"/>
    </row>
    <row r="720" spans="1:3" ht="15.75" customHeight="1">
      <c r="A720" s="68"/>
      <c r="C720" s="48"/>
    </row>
    <row r="721" spans="1:3" ht="15.75" customHeight="1">
      <c r="A721" s="68"/>
      <c r="C721" s="48"/>
    </row>
    <row r="722" spans="1:3" ht="15.75" customHeight="1">
      <c r="A722" s="68"/>
      <c r="C722" s="48"/>
    </row>
    <row r="723" spans="1:3" ht="15.75" customHeight="1">
      <c r="A723" s="68"/>
      <c r="C723" s="48"/>
    </row>
    <row r="724" spans="1:3" ht="15.75" customHeight="1">
      <c r="A724" s="68"/>
      <c r="C724" s="48"/>
    </row>
    <row r="725" spans="1:3" ht="15.75" customHeight="1">
      <c r="A725" s="68"/>
      <c r="C725" s="48"/>
    </row>
    <row r="726" spans="1:3" ht="15.75" customHeight="1">
      <c r="A726" s="68"/>
      <c r="C726" s="48"/>
    </row>
    <row r="727" spans="1:3" ht="15.75" customHeight="1">
      <c r="A727" s="68"/>
      <c r="C727" s="48"/>
    </row>
    <row r="728" spans="1:3" ht="15.75" customHeight="1">
      <c r="A728" s="68"/>
      <c r="C728" s="48"/>
    </row>
    <row r="729" spans="1:3" ht="15.75" customHeight="1">
      <c r="A729" s="68"/>
      <c r="C729" s="48"/>
    </row>
    <row r="730" spans="1:3" ht="15.75" customHeight="1">
      <c r="A730" s="68"/>
      <c r="C730" s="48"/>
    </row>
    <row r="731" spans="1:3" ht="15.75" customHeight="1">
      <c r="A731" s="68"/>
      <c r="C731" s="48"/>
    </row>
    <row r="732" spans="1:3" ht="15.75" customHeight="1">
      <c r="A732" s="68"/>
      <c r="C732" s="48"/>
    </row>
    <row r="733" spans="1:3" ht="15.75" customHeight="1">
      <c r="A733" s="68"/>
      <c r="C733" s="48"/>
    </row>
    <row r="734" spans="1:3" ht="15.75" customHeight="1">
      <c r="A734" s="68"/>
      <c r="C734" s="48"/>
    </row>
    <row r="735" spans="1:3" ht="15.75" customHeight="1">
      <c r="A735" s="68"/>
      <c r="C735" s="48"/>
    </row>
    <row r="736" spans="1:3" ht="15.75" customHeight="1">
      <c r="A736" s="68"/>
      <c r="C736" s="48"/>
    </row>
    <row r="737" spans="1:3" ht="15.75" customHeight="1">
      <c r="A737" s="68"/>
      <c r="C737" s="48"/>
    </row>
    <row r="738" spans="1:3" ht="15.75" customHeight="1">
      <c r="A738" s="68"/>
      <c r="C738" s="48"/>
    </row>
    <row r="739" spans="1:3" ht="15.75" customHeight="1">
      <c r="A739" s="68"/>
      <c r="C739" s="48"/>
    </row>
    <row r="740" spans="1:3" ht="15.75" customHeight="1">
      <c r="A740" s="68"/>
      <c r="C740" s="48"/>
    </row>
    <row r="741" spans="1:3" ht="15.75" customHeight="1">
      <c r="A741" s="68"/>
      <c r="C741" s="48"/>
    </row>
    <row r="742" spans="1:3" ht="15.75" customHeight="1">
      <c r="A742" s="68"/>
      <c r="C742" s="48"/>
    </row>
    <row r="743" spans="1:3" ht="15.75" customHeight="1">
      <c r="A743" s="68"/>
      <c r="C743" s="48"/>
    </row>
    <row r="744" spans="1:3" ht="15.75" customHeight="1">
      <c r="A744" s="68"/>
      <c r="C744" s="48"/>
    </row>
    <row r="745" spans="1:3" ht="15.75" customHeight="1">
      <c r="A745" s="68"/>
      <c r="C745" s="48"/>
    </row>
    <row r="746" spans="1:3" ht="15.75" customHeight="1">
      <c r="A746" s="68"/>
      <c r="C746" s="48"/>
    </row>
    <row r="747" spans="1:3" ht="15.75" customHeight="1">
      <c r="A747" s="68"/>
      <c r="C747" s="48"/>
    </row>
    <row r="748" spans="1:3" ht="15.75" customHeight="1">
      <c r="A748" s="68"/>
      <c r="C748" s="48"/>
    </row>
    <row r="749" spans="1:3" ht="15.75" customHeight="1">
      <c r="A749" s="68"/>
      <c r="C749" s="48"/>
    </row>
    <row r="750" spans="1:3" ht="15.75" customHeight="1">
      <c r="A750" s="68"/>
      <c r="C750" s="48"/>
    </row>
    <row r="751" spans="1:3" ht="15.75" customHeight="1">
      <c r="A751" s="68"/>
      <c r="C751" s="48"/>
    </row>
    <row r="752" spans="1:3" ht="15.75" customHeight="1">
      <c r="A752" s="68"/>
      <c r="C752" s="48"/>
    </row>
    <row r="753" spans="1:3" ht="15.75" customHeight="1">
      <c r="A753" s="68"/>
      <c r="C753" s="48"/>
    </row>
    <row r="754" spans="1:3" ht="15.75" customHeight="1">
      <c r="A754" s="68"/>
      <c r="C754" s="48"/>
    </row>
    <row r="755" spans="1:3" ht="15.75" customHeight="1">
      <c r="A755" s="68"/>
      <c r="C755" s="48"/>
    </row>
    <row r="756" spans="1:3" ht="15.75" customHeight="1">
      <c r="A756" s="68"/>
      <c r="C756" s="48"/>
    </row>
    <row r="757" spans="1:3" ht="15.75" customHeight="1">
      <c r="A757" s="68"/>
      <c r="C757" s="48"/>
    </row>
    <row r="758" spans="1:3" ht="15.75" customHeight="1">
      <c r="A758" s="68"/>
      <c r="C758" s="48"/>
    </row>
    <row r="759" spans="1:3" ht="15.75" customHeight="1">
      <c r="A759" s="68"/>
      <c r="C759" s="48"/>
    </row>
    <row r="760" spans="1:3" ht="15.75" customHeight="1">
      <c r="A760" s="68"/>
      <c r="C760" s="48"/>
    </row>
    <row r="761" spans="1:3" ht="15.75" customHeight="1">
      <c r="A761" s="68"/>
      <c r="C761" s="48"/>
    </row>
    <row r="762" spans="1:3" ht="15.75" customHeight="1">
      <c r="A762" s="68"/>
      <c r="C762" s="48"/>
    </row>
    <row r="763" spans="1:3" ht="15.75" customHeight="1">
      <c r="A763" s="68"/>
      <c r="C763" s="48"/>
    </row>
    <row r="764" spans="1:3" ht="15.75" customHeight="1">
      <c r="A764" s="68"/>
      <c r="C764" s="48"/>
    </row>
    <row r="765" spans="1:3" ht="15.75" customHeight="1">
      <c r="A765" s="68"/>
      <c r="C765" s="48"/>
    </row>
    <row r="766" spans="1:3" ht="15.75" customHeight="1">
      <c r="A766" s="68"/>
      <c r="C766" s="48"/>
    </row>
    <row r="767" spans="1:3" ht="15.75" customHeight="1">
      <c r="A767" s="68"/>
      <c r="C767" s="48"/>
    </row>
    <row r="768" spans="1:3" ht="15.75" customHeight="1">
      <c r="A768" s="68"/>
      <c r="C768" s="48"/>
    </row>
    <row r="769" spans="1:3" ht="15.75" customHeight="1">
      <c r="A769" s="68"/>
      <c r="C769" s="48"/>
    </row>
    <row r="770" spans="1:3" ht="15.75" customHeight="1">
      <c r="A770" s="68"/>
      <c r="C770" s="48"/>
    </row>
    <row r="771" spans="1:3" ht="15.75" customHeight="1">
      <c r="A771" s="68"/>
      <c r="C771" s="48"/>
    </row>
    <row r="772" spans="1:3" ht="15.75" customHeight="1">
      <c r="A772" s="68"/>
      <c r="C772" s="48"/>
    </row>
    <row r="773" spans="1:3" ht="15.75" customHeight="1">
      <c r="A773" s="68"/>
      <c r="C773" s="48"/>
    </row>
    <row r="774" spans="1:3" ht="15.75" customHeight="1">
      <c r="A774" s="68"/>
      <c r="C774" s="48"/>
    </row>
    <row r="775" spans="1:3" ht="15.75" customHeight="1">
      <c r="A775" s="68"/>
      <c r="C775" s="48"/>
    </row>
    <row r="776" spans="1:3" ht="15.75" customHeight="1">
      <c r="A776" s="68"/>
      <c r="C776" s="48"/>
    </row>
    <row r="777" spans="1:3" ht="15.75" customHeight="1">
      <c r="A777" s="68"/>
      <c r="C777" s="48"/>
    </row>
    <row r="778" spans="1:3" ht="15.75" customHeight="1">
      <c r="A778" s="68"/>
      <c r="C778" s="48"/>
    </row>
    <row r="779" spans="1:3" ht="15.75" customHeight="1">
      <c r="A779" s="68"/>
      <c r="C779" s="48"/>
    </row>
    <row r="780" spans="1:3" ht="15.75" customHeight="1">
      <c r="A780" s="68"/>
      <c r="C780" s="48"/>
    </row>
    <row r="781" spans="1:3" ht="15.75" customHeight="1">
      <c r="A781" s="68"/>
      <c r="C781" s="48"/>
    </row>
    <row r="782" spans="1:3" ht="15.75" customHeight="1">
      <c r="A782" s="68"/>
      <c r="C782" s="48"/>
    </row>
    <row r="783" spans="1:3" ht="15.75" customHeight="1">
      <c r="A783" s="68"/>
      <c r="C783" s="48"/>
    </row>
    <row r="784" spans="1:3" ht="15.75" customHeight="1">
      <c r="A784" s="68"/>
      <c r="C784" s="48"/>
    </row>
    <row r="785" spans="1:3" ht="15.75" customHeight="1">
      <c r="A785" s="68"/>
      <c r="C785" s="48"/>
    </row>
    <row r="786" spans="1:3" ht="15.75" customHeight="1">
      <c r="A786" s="68"/>
      <c r="C786" s="48"/>
    </row>
    <row r="787" spans="1:3" ht="15.75" customHeight="1">
      <c r="A787" s="68"/>
      <c r="C787" s="48"/>
    </row>
    <row r="788" spans="1:3" ht="15.75" customHeight="1">
      <c r="A788" s="68"/>
      <c r="C788" s="48"/>
    </row>
    <row r="789" spans="1:3" ht="15.75" customHeight="1">
      <c r="A789" s="68"/>
      <c r="C789" s="48"/>
    </row>
    <row r="790" spans="1:3" ht="15.75" customHeight="1">
      <c r="A790" s="68"/>
      <c r="C790" s="48"/>
    </row>
    <row r="791" spans="1:3" ht="15.75" customHeight="1">
      <c r="A791" s="68"/>
      <c r="C791" s="48"/>
    </row>
    <row r="792" spans="1:3" ht="15.75" customHeight="1">
      <c r="A792" s="68"/>
      <c r="C792" s="48"/>
    </row>
    <row r="793" spans="1:3" ht="15.75" customHeight="1">
      <c r="A793" s="68"/>
      <c r="C793" s="48"/>
    </row>
    <row r="794" spans="1:3" ht="15.75" customHeight="1">
      <c r="A794" s="68"/>
      <c r="C794" s="48"/>
    </row>
    <row r="795" spans="1:3" ht="15.75" customHeight="1">
      <c r="A795" s="68"/>
      <c r="C795" s="48"/>
    </row>
    <row r="796" spans="1:3" ht="15.75" customHeight="1">
      <c r="A796" s="68"/>
      <c r="C796" s="48"/>
    </row>
    <row r="797" spans="1:3" ht="15.75" customHeight="1">
      <c r="A797" s="68"/>
      <c r="C797" s="48"/>
    </row>
    <row r="798" spans="1:3" ht="15.75" customHeight="1">
      <c r="A798" s="68"/>
      <c r="C798" s="48"/>
    </row>
    <row r="799" spans="1:3" ht="15.75" customHeight="1">
      <c r="A799" s="68"/>
      <c r="C799" s="48"/>
    </row>
    <row r="800" spans="1:3" ht="15.75" customHeight="1">
      <c r="A800" s="68"/>
      <c r="C800" s="48"/>
    </row>
    <row r="801" spans="1:3" ht="15.75" customHeight="1">
      <c r="A801" s="68"/>
      <c r="C801" s="48"/>
    </row>
    <row r="802" spans="1:3" ht="15.75" customHeight="1">
      <c r="A802" s="68"/>
      <c r="C802" s="48"/>
    </row>
    <row r="803" spans="1:3" ht="15.75" customHeight="1">
      <c r="A803" s="68"/>
      <c r="C803" s="48"/>
    </row>
    <row r="804" spans="1:3" ht="15.75" customHeight="1">
      <c r="A804" s="68"/>
      <c r="C804" s="48"/>
    </row>
    <row r="805" spans="1:3" ht="15.75" customHeight="1">
      <c r="A805" s="68"/>
      <c r="C805" s="48"/>
    </row>
    <row r="806" spans="1:3" ht="15.75" customHeight="1">
      <c r="A806" s="68"/>
      <c r="C806" s="48"/>
    </row>
    <row r="807" spans="1:3" ht="15.75" customHeight="1">
      <c r="A807" s="68"/>
      <c r="C807" s="48"/>
    </row>
    <row r="808" spans="1:3" ht="15.75" customHeight="1">
      <c r="A808" s="68"/>
      <c r="C808" s="48"/>
    </row>
    <row r="809" spans="1:3" ht="15.75" customHeight="1">
      <c r="A809" s="68"/>
      <c r="C809" s="48"/>
    </row>
    <row r="810" spans="1:3" ht="15.75" customHeight="1">
      <c r="A810" s="68"/>
      <c r="C810" s="48"/>
    </row>
    <row r="811" spans="1:3" ht="15.75" customHeight="1">
      <c r="A811" s="68"/>
      <c r="C811" s="48"/>
    </row>
    <row r="812" spans="1:3" ht="15.75" customHeight="1">
      <c r="A812" s="68"/>
      <c r="C812" s="48"/>
    </row>
    <row r="813" spans="1:3" ht="15.75" customHeight="1">
      <c r="A813" s="68"/>
      <c r="C813" s="48"/>
    </row>
    <row r="814" spans="1:3" ht="15.75" customHeight="1">
      <c r="A814" s="68"/>
      <c r="C814" s="48"/>
    </row>
    <row r="815" spans="1:3" ht="15.75" customHeight="1">
      <c r="A815" s="68"/>
      <c r="C815" s="48"/>
    </row>
    <row r="816" spans="1:3" ht="15.75" customHeight="1">
      <c r="A816" s="68"/>
      <c r="C816" s="48"/>
    </row>
    <row r="817" spans="1:3" ht="15.75" customHeight="1">
      <c r="A817" s="68"/>
      <c r="C817" s="48"/>
    </row>
    <row r="818" spans="1:3" ht="15.75" customHeight="1">
      <c r="A818" s="68"/>
      <c r="C818" s="48"/>
    </row>
    <row r="819" spans="1:3" ht="15.75" customHeight="1">
      <c r="A819" s="68"/>
      <c r="C819" s="48"/>
    </row>
    <row r="820" spans="1:3" ht="15.75" customHeight="1">
      <c r="A820" s="68"/>
      <c r="C820" s="48"/>
    </row>
    <row r="821" spans="1:3" ht="15.75" customHeight="1">
      <c r="A821" s="68"/>
      <c r="C821" s="48"/>
    </row>
    <row r="822" spans="1:3" ht="15.75" customHeight="1">
      <c r="A822" s="68"/>
      <c r="C822" s="48"/>
    </row>
    <row r="823" spans="1:3" ht="15.75" customHeight="1">
      <c r="A823" s="68"/>
      <c r="C823" s="48"/>
    </row>
    <row r="824" spans="1:3" ht="15.75" customHeight="1">
      <c r="A824" s="68"/>
      <c r="C824" s="48"/>
    </row>
    <row r="825" spans="1:3" ht="15.75" customHeight="1">
      <c r="A825" s="68"/>
      <c r="C825" s="48"/>
    </row>
    <row r="826" spans="1:3" ht="15.75" customHeight="1">
      <c r="A826" s="68"/>
      <c r="C826" s="48"/>
    </row>
    <row r="827" spans="1:3" ht="15.75" customHeight="1">
      <c r="A827" s="68"/>
      <c r="C827" s="48"/>
    </row>
    <row r="828" spans="1:3" ht="15.75" customHeight="1">
      <c r="A828" s="68"/>
      <c r="C828" s="48"/>
    </row>
    <row r="829" spans="1:3" ht="15.75" customHeight="1">
      <c r="A829" s="68"/>
      <c r="C829" s="48"/>
    </row>
    <row r="830" spans="1:3" ht="15.75" customHeight="1">
      <c r="A830" s="68"/>
      <c r="C830" s="48"/>
    </row>
    <row r="831" spans="1:3" ht="15.75" customHeight="1">
      <c r="A831" s="68"/>
      <c r="C831" s="48"/>
    </row>
    <row r="832" spans="1:3" ht="15.75" customHeight="1">
      <c r="A832" s="68"/>
      <c r="C832" s="48"/>
    </row>
    <row r="833" spans="1:3" ht="15.75" customHeight="1">
      <c r="A833" s="68"/>
      <c r="C833" s="48"/>
    </row>
    <row r="834" spans="1:3" ht="15.75" customHeight="1">
      <c r="A834" s="68"/>
      <c r="C834" s="48"/>
    </row>
    <row r="835" spans="1:3" ht="15.75" customHeight="1">
      <c r="A835" s="68"/>
      <c r="C835" s="48"/>
    </row>
    <row r="836" spans="1:3" ht="15.75" customHeight="1">
      <c r="A836" s="68"/>
      <c r="C836" s="48"/>
    </row>
    <row r="837" spans="1:3" ht="15.75" customHeight="1">
      <c r="A837" s="68"/>
      <c r="C837" s="48"/>
    </row>
    <row r="838" spans="1:3" ht="15.75" customHeight="1">
      <c r="A838" s="68"/>
      <c r="C838" s="48"/>
    </row>
    <row r="839" spans="1:3" ht="15.75" customHeight="1">
      <c r="A839" s="68"/>
      <c r="C839" s="48"/>
    </row>
    <row r="840" spans="1:3" ht="15.75" customHeight="1">
      <c r="A840" s="68"/>
      <c r="C840" s="48"/>
    </row>
    <row r="841" spans="1:3" ht="15.75" customHeight="1">
      <c r="A841" s="68"/>
      <c r="C841" s="48"/>
    </row>
    <row r="842" spans="1:3" ht="15.75" customHeight="1">
      <c r="A842" s="68"/>
      <c r="C842" s="48"/>
    </row>
    <row r="843" spans="1:3" ht="15.75" customHeight="1">
      <c r="A843" s="68"/>
      <c r="C843" s="48"/>
    </row>
    <row r="844" spans="1:3" ht="15.75" customHeight="1">
      <c r="A844" s="68"/>
      <c r="C844" s="48"/>
    </row>
    <row r="845" spans="1:3" ht="15.75" customHeight="1">
      <c r="A845" s="68"/>
      <c r="C845" s="48"/>
    </row>
    <row r="846" spans="1:3" ht="15.75" customHeight="1">
      <c r="A846" s="68"/>
      <c r="C846" s="48"/>
    </row>
    <row r="847" spans="1:3" ht="15.75" customHeight="1">
      <c r="A847" s="68"/>
      <c r="C847" s="48"/>
    </row>
    <row r="848" spans="1:3" ht="15.75" customHeight="1">
      <c r="A848" s="68"/>
      <c r="C848" s="48"/>
    </row>
    <row r="849" spans="1:3" ht="15.75" customHeight="1">
      <c r="A849" s="68"/>
      <c r="C849" s="48"/>
    </row>
    <row r="850" spans="1:3" ht="15.75" customHeight="1">
      <c r="A850" s="68"/>
      <c r="C850" s="48"/>
    </row>
    <row r="851" spans="1:3" ht="15.75" customHeight="1">
      <c r="A851" s="68"/>
      <c r="C851" s="48"/>
    </row>
    <row r="852" spans="1:3" ht="15.75" customHeight="1">
      <c r="A852" s="68"/>
      <c r="C852" s="48"/>
    </row>
    <row r="853" spans="1:3" ht="15.75" customHeight="1">
      <c r="A853" s="68"/>
      <c r="C853" s="48"/>
    </row>
    <row r="854" spans="1:3" ht="15.75" customHeight="1">
      <c r="A854" s="68"/>
      <c r="C854" s="48"/>
    </row>
    <row r="855" spans="1:3" ht="15.75" customHeight="1">
      <c r="A855" s="68"/>
      <c r="C855" s="48"/>
    </row>
    <row r="856" spans="1:3" ht="15.75" customHeight="1">
      <c r="A856" s="68"/>
      <c r="C856" s="48"/>
    </row>
    <row r="857" spans="1:3" ht="15.75" customHeight="1">
      <c r="A857" s="68"/>
      <c r="C857" s="48"/>
    </row>
    <row r="858" spans="1:3" ht="15.75" customHeight="1">
      <c r="A858" s="68"/>
      <c r="C858" s="48"/>
    </row>
    <row r="859" spans="1:3" ht="15.75" customHeight="1">
      <c r="A859" s="68"/>
      <c r="C859" s="48"/>
    </row>
    <row r="860" spans="1:3" ht="15.75" customHeight="1">
      <c r="A860" s="68"/>
      <c r="C860" s="48"/>
    </row>
    <row r="861" spans="1:3" ht="15.75" customHeight="1">
      <c r="A861" s="68"/>
      <c r="C861" s="48"/>
    </row>
    <row r="862" spans="1:3" ht="15.75" customHeight="1">
      <c r="A862" s="68"/>
      <c r="C862" s="48"/>
    </row>
    <row r="863" spans="1:3" ht="15.75" customHeight="1">
      <c r="A863" s="68"/>
      <c r="C863" s="48"/>
    </row>
    <row r="864" spans="1:3" ht="15.75" customHeight="1">
      <c r="A864" s="68"/>
      <c r="C864" s="48"/>
    </row>
    <row r="865" spans="1:3" ht="15.75" customHeight="1">
      <c r="A865" s="68"/>
      <c r="C865" s="48"/>
    </row>
    <row r="866" spans="1:3" ht="15.75" customHeight="1">
      <c r="A866" s="68"/>
      <c r="C866" s="48"/>
    </row>
    <row r="867" spans="1:3" ht="15.75" customHeight="1">
      <c r="A867" s="68"/>
      <c r="C867" s="48"/>
    </row>
    <row r="868" spans="1:3" ht="15.75" customHeight="1">
      <c r="A868" s="68"/>
      <c r="C868" s="48"/>
    </row>
    <row r="869" spans="1:3" ht="15.75" customHeight="1">
      <c r="A869" s="68"/>
      <c r="C869" s="48"/>
    </row>
    <row r="870" spans="1:3" ht="15.75" customHeight="1">
      <c r="A870" s="68"/>
      <c r="C870" s="48"/>
    </row>
    <row r="871" spans="1:3" ht="15.75" customHeight="1">
      <c r="A871" s="68"/>
      <c r="C871" s="48"/>
    </row>
    <row r="872" spans="1:3" ht="15.75" customHeight="1">
      <c r="A872" s="68"/>
      <c r="C872" s="48"/>
    </row>
    <row r="873" spans="1:3" ht="15.75" customHeight="1">
      <c r="A873" s="68"/>
      <c r="C873" s="48"/>
    </row>
    <row r="874" spans="1:3" ht="15.75" customHeight="1">
      <c r="A874" s="68"/>
      <c r="C874" s="48"/>
    </row>
    <row r="875" spans="1:3" ht="15.75" customHeight="1">
      <c r="A875" s="68"/>
      <c r="C875" s="48"/>
    </row>
    <row r="876" spans="1:3" ht="15.75" customHeight="1">
      <c r="A876" s="68"/>
      <c r="C876" s="48"/>
    </row>
    <row r="877" spans="1:3" ht="15.75" customHeight="1">
      <c r="A877" s="68"/>
      <c r="C877" s="48"/>
    </row>
    <row r="878" spans="1:3" ht="15.75" customHeight="1">
      <c r="A878" s="68"/>
      <c r="C878" s="48"/>
    </row>
    <row r="879" spans="1:3" ht="15.75" customHeight="1">
      <c r="A879" s="68"/>
      <c r="C879" s="48"/>
    </row>
    <row r="880" spans="1:3" ht="15.75" customHeight="1">
      <c r="A880" s="68"/>
      <c r="C880" s="48"/>
    </row>
    <row r="881" spans="1:3" ht="15.75" customHeight="1">
      <c r="A881" s="68"/>
      <c r="C881" s="48"/>
    </row>
    <row r="882" spans="1:3" ht="15.75" customHeight="1">
      <c r="A882" s="68"/>
      <c r="C882" s="48"/>
    </row>
    <row r="883" spans="1:3" ht="15.75" customHeight="1">
      <c r="A883" s="68"/>
      <c r="C883" s="48"/>
    </row>
    <row r="884" spans="1:3" ht="15.75" customHeight="1">
      <c r="A884" s="68"/>
      <c r="C884" s="48"/>
    </row>
    <row r="885" spans="1:3" ht="15.75" customHeight="1">
      <c r="A885" s="68"/>
      <c r="C885" s="48"/>
    </row>
    <row r="886" spans="1:3" ht="15.75" customHeight="1">
      <c r="A886" s="68"/>
      <c r="C886" s="48"/>
    </row>
    <row r="887" spans="1:3" ht="15.75" customHeight="1">
      <c r="A887" s="68"/>
      <c r="C887" s="48"/>
    </row>
    <row r="888" spans="1:3" ht="15.75" customHeight="1">
      <c r="A888" s="68"/>
      <c r="C888" s="48"/>
    </row>
    <row r="889" spans="1:3" ht="15.75" customHeight="1">
      <c r="A889" s="68"/>
      <c r="C889" s="48"/>
    </row>
    <row r="890" spans="1:3" ht="15.75" customHeight="1">
      <c r="A890" s="68"/>
      <c r="C890" s="48"/>
    </row>
    <row r="891" spans="1:3" ht="15.75" customHeight="1">
      <c r="A891" s="68"/>
      <c r="C891" s="48"/>
    </row>
    <row r="892" spans="1:3" ht="15.75" customHeight="1">
      <c r="A892" s="68"/>
      <c r="C892" s="48"/>
    </row>
    <row r="893" spans="1:3" ht="15.75" customHeight="1">
      <c r="A893" s="68"/>
      <c r="C893" s="48"/>
    </row>
    <row r="894" spans="1:3" ht="15.75" customHeight="1">
      <c r="A894" s="68"/>
      <c r="C894" s="48"/>
    </row>
    <row r="895" spans="1:3" ht="15.75" customHeight="1">
      <c r="A895" s="68"/>
      <c r="C895" s="48"/>
    </row>
    <row r="896" spans="1:3" ht="15.75" customHeight="1">
      <c r="A896" s="68"/>
      <c r="C896" s="48"/>
    </row>
    <row r="897" spans="1:3" ht="15.75" customHeight="1">
      <c r="A897" s="68"/>
      <c r="C897" s="48"/>
    </row>
    <row r="898" spans="1:3" ht="15.75" customHeight="1">
      <c r="A898" s="68"/>
      <c r="C898" s="48"/>
    </row>
    <row r="899" spans="1:3" ht="15.75" customHeight="1">
      <c r="A899" s="68"/>
      <c r="C899" s="48"/>
    </row>
    <row r="900" spans="1:3" ht="15.75" customHeight="1">
      <c r="A900" s="68"/>
      <c r="C900" s="48"/>
    </row>
    <row r="901" spans="1:3" ht="15.75" customHeight="1">
      <c r="A901" s="68"/>
      <c r="C901" s="48"/>
    </row>
    <row r="902" spans="1:3" ht="15.75" customHeight="1">
      <c r="A902" s="68"/>
      <c r="C902" s="48"/>
    </row>
    <row r="903" spans="1:3" ht="15.75" customHeight="1">
      <c r="A903" s="68"/>
      <c r="C903" s="48"/>
    </row>
    <row r="904" spans="1:3" ht="15.75" customHeight="1">
      <c r="A904" s="68"/>
      <c r="C904" s="48"/>
    </row>
    <row r="905" spans="1:3" ht="15.75" customHeight="1">
      <c r="A905" s="68"/>
      <c r="C905" s="48"/>
    </row>
    <row r="906" spans="1:3" ht="15.75" customHeight="1">
      <c r="A906" s="68"/>
      <c r="C906" s="48"/>
    </row>
    <row r="907" spans="1:3" ht="15.75" customHeight="1">
      <c r="A907" s="68"/>
      <c r="C907" s="48"/>
    </row>
    <row r="908" spans="1:3" ht="15.75" customHeight="1">
      <c r="A908" s="68"/>
      <c r="C908" s="48"/>
    </row>
    <row r="909" spans="1:3" ht="15.75" customHeight="1">
      <c r="A909" s="68"/>
      <c r="C909" s="48"/>
    </row>
    <row r="910" spans="1:3" ht="15.75" customHeight="1">
      <c r="A910" s="68"/>
      <c r="C910" s="48"/>
    </row>
    <row r="911" spans="1:3" ht="15.75" customHeight="1">
      <c r="A911" s="68"/>
      <c r="C911" s="48"/>
    </row>
    <row r="912" spans="1:3" ht="15.75" customHeight="1">
      <c r="A912" s="68"/>
      <c r="C912" s="48"/>
    </row>
    <row r="913" spans="1:3" ht="15.75" customHeight="1">
      <c r="A913" s="68"/>
      <c r="C913" s="48"/>
    </row>
    <row r="914" spans="1:3" ht="15.75" customHeight="1">
      <c r="A914" s="68"/>
      <c r="C914" s="48"/>
    </row>
    <row r="915" spans="1:3" ht="15.75" customHeight="1">
      <c r="A915" s="68"/>
      <c r="C915" s="48"/>
    </row>
    <row r="916" spans="1:3" ht="15.75" customHeight="1">
      <c r="A916" s="68"/>
      <c r="C916" s="48"/>
    </row>
    <row r="917" spans="1:3" ht="15.75" customHeight="1">
      <c r="A917" s="68"/>
      <c r="C917" s="48"/>
    </row>
    <row r="918" spans="1:3" ht="15.75" customHeight="1">
      <c r="A918" s="68"/>
      <c r="C918" s="48"/>
    </row>
    <row r="919" spans="1:3" ht="15.75" customHeight="1">
      <c r="A919" s="68"/>
      <c r="C919" s="48"/>
    </row>
    <row r="920" spans="1:3" ht="15.75" customHeight="1">
      <c r="A920" s="68"/>
      <c r="C920" s="48"/>
    </row>
    <row r="921" spans="1:3" ht="15.75" customHeight="1">
      <c r="A921" s="68"/>
      <c r="C921" s="48"/>
    </row>
    <row r="922" spans="1:3" ht="15.75" customHeight="1">
      <c r="A922" s="68"/>
      <c r="C922" s="48"/>
    </row>
    <row r="923" spans="1:3" ht="15.75" customHeight="1">
      <c r="A923" s="68"/>
      <c r="C923" s="48"/>
    </row>
    <row r="924" spans="1:3" ht="15.75" customHeight="1">
      <c r="A924" s="68"/>
      <c r="C924" s="48"/>
    </row>
    <row r="925" spans="1:3" ht="15.75" customHeight="1">
      <c r="A925" s="68"/>
      <c r="C925" s="48"/>
    </row>
    <row r="926" spans="1:3" ht="15.75" customHeight="1">
      <c r="A926" s="68"/>
      <c r="C926" s="48"/>
    </row>
    <row r="927" spans="1:3" ht="15.75" customHeight="1">
      <c r="A927" s="68"/>
      <c r="C927" s="48"/>
    </row>
    <row r="928" spans="1:3" ht="15.75" customHeight="1">
      <c r="A928" s="68"/>
      <c r="C928" s="48"/>
    </row>
    <row r="929" spans="1:3" ht="15.75" customHeight="1">
      <c r="A929" s="68"/>
      <c r="C929" s="48"/>
    </row>
    <row r="930" spans="1:3" ht="15.75" customHeight="1">
      <c r="A930" s="68"/>
      <c r="C930" s="48"/>
    </row>
    <row r="931" spans="1:3" ht="15.75" customHeight="1">
      <c r="A931" s="68"/>
      <c r="C931" s="48"/>
    </row>
    <row r="932" spans="1:3" ht="15.75" customHeight="1">
      <c r="A932" s="68"/>
      <c r="C932" s="48"/>
    </row>
    <row r="933" spans="1:3" ht="15.75" customHeight="1">
      <c r="A933" s="68"/>
      <c r="C933" s="48"/>
    </row>
    <row r="934" spans="1:3" ht="15.75" customHeight="1">
      <c r="A934" s="68"/>
      <c r="C934" s="48"/>
    </row>
    <row r="935" spans="1:3" ht="15.75" customHeight="1">
      <c r="A935" s="68"/>
      <c r="C935" s="48"/>
    </row>
    <row r="936" spans="1:3" ht="15.75" customHeight="1">
      <c r="A936" s="68"/>
      <c r="C936" s="48"/>
    </row>
    <row r="937" spans="1:3" ht="15.75" customHeight="1">
      <c r="A937" s="68"/>
      <c r="C937" s="48"/>
    </row>
    <row r="938" spans="1:3" ht="15.75" customHeight="1">
      <c r="A938" s="68"/>
      <c r="C938" s="48"/>
    </row>
    <row r="939" spans="1:3" ht="15.75" customHeight="1">
      <c r="A939" s="68"/>
      <c r="C939" s="48"/>
    </row>
    <row r="940" spans="1:3" ht="15.75" customHeight="1">
      <c r="A940" s="68"/>
      <c r="C940" s="48"/>
    </row>
    <row r="941" spans="1:3" ht="15.75" customHeight="1">
      <c r="A941" s="68"/>
      <c r="C941" s="48"/>
    </row>
    <row r="942" spans="1:3" ht="15.75" customHeight="1">
      <c r="A942" s="68"/>
      <c r="C942" s="48"/>
    </row>
    <row r="943" spans="1:3" ht="15.75" customHeight="1">
      <c r="A943" s="68"/>
      <c r="C943" s="48"/>
    </row>
    <row r="944" spans="1:3" ht="15.75" customHeight="1">
      <c r="A944" s="68"/>
      <c r="C944" s="48"/>
    </row>
    <row r="945" spans="1:3" ht="15.75" customHeight="1">
      <c r="A945" s="68"/>
      <c r="C945" s="48"/>
    </row>
    <row r="946" spans="1:3" ht="15.75" customHeight="1">
      <c r="A946" s="68"/>
      <c r="C946" s="48"/>
    </row>
    <row r="947" spans="1:3" ht="15.75" customHeight="1">
      <c r="A947" s="68"/>
      <c r="C947" s="48"/>
    </row>
    <row r="948" spans="1:3" ht="15.75" customHeight="1">
      <c r="A948" s="68"/>
      <c r="C948" s="48"/>
    </row>
    <row r="949" spans="1:3" ht="15.75" customHeight="1">
      <c r="A949" s="68"/>
      <c r="C949" s="48"/>
    </row>
    <row r="950" spans="1:3" ht="15.75" customHeight="1">
      <c r="A950" s="68"/>
      <c r="C950" s="48"/>
    </row>
    <row r="951" spans="1:3" ht="15.75" customHeight="1">
      <c r="A951" s="68"/>
      <c r="C951" s="48"/>
    </row>
    <row r="952" spans="1:3" ht="15.75" customHeight="1">
      <c r="A952" s="68"/>
      <c r="C952" s="48"/>
    </row>
    <row r="953" spans="1:3" ht="15.75" customHeight="1">
      <c r="A953" s="68"/>
      <c r="C953" s="48"/>
    </row>
    <row r="954" spans="1:3" ht="15.75" customHeight="1">
      <c r="A954" s="68"/>
      <c r="C954" s="48"/>
    </row>
    <row r="955" spans="1:3" ht="15.75" customHeight="1">
      <c r="A955" s="68"/>
      <c r="C955" s="48"/>
    </row>
    <row r="956" spans="1:3" ht="15.75" customHeight="1">
      <c r="A956" s="68"/>
      <c r="C956" s="48"/>
    </row>
    <row r="957" spans="1:3" ht="15.75" customHeight="1">
      <c r="A957" s="68"/>
      <c r="C957" s="48"/>
    </row>
    <row r="958" spans="1:3" ht="15.75" customHeight="1">
      <c r="A958" s="68"/>
      <c r="C958" s="48"/>
    </row>
    <row r="959" spans="1:3" ht="15.75" customHeight="1">
      <c r="A959" s="68"/>
      <c r="C959" s="48"/>
    </row>
    <row r="960" spans="1:3" ht="15.75" customHeight="1">
      <c r="A960" s="68"/>
      <c r="C960" s="48"/>
    </row>
    <row r="961" spans="1:3" ht="15.75" customHeight="1">
      <c r="A961" s="68"/>
      <c r="C961" s="48"/>
    </row>
    <row r="962" spans="1:3" ht="15.75" customHeight="1">
      <c r="A962" s="68"/>
      <c r="C962" s="48"/>
    </row>
    <row r="963" spans="1:3" ht="15.75" customHeight="1">
      <c r="A963" s="68"/>
      <c r="C963" s="48"/>
    </row>
    <row r="964" spans="1:3" ht="15.75" customHeight="1">
      <c r="A964" s="68"/>
      <c r="C964" s="48"/>
    </row>
    <row r="965" spans="1:3" ht="15.75" customHeight="1">
      <c r="A965" s="68"/>
      <c r="C965" s="48"/>
    </row>
    <row r="966" spans="1:3" ht="15.75" customHeight="1">
      <c r="A966" s="68"/>
      <c r="C966" s="48"/>
    </row>
    <row r="967" spans="1:3" ht="15.75" customHeight="1">
      <c r="A967" s="68"/>
      <c r="C967" s="48"/>
    </row>
    <row r="968" spans="1:3" ht="15.75" customHeight="1">
      <c r="A968" s="68"/>
      <c r="C968" s="48"/>
    </row>
    <row r="969" spans="1:3" ht="15.75" customHeight="1">
      <c r="A969" s="68"/>
      <c r="C969" s="48"/>
    </row>
    <row r="970" spans="1:3" ht="15.75" customHeight="1">
      <c r="A970" s="68"/>
      <c r="C970" s="48"/>
    </row>
    <row r="971" spans="1:3" ht="15.75" customHeight="1">
      <c r="A971" s="68"/>
      <c r="C971" s="48"/>
    </row>
    <row r="972" spans="1:3" ht="15.75" customHeight="1">
      <c r="A972" s="68"/>
      <c r="C972" s="48"/>
    </row>
    <row r="973" spans="1:3" ht="15.75" customHeight="1">
      <c r="A973" s="68"/>
      <c r="C973" s="48"/>
    </row>
    <row r="974" spans="1:3" ht="15.75" customHeight="1">
      <c r="A974" s="68"/>
      <c r="C974" s="48"/>
    </row>
    <row r="975" spans="1:3" ht="15.75" customHeight="1">
      <c r="A975" s="68"/>
      <c r="C975" s="48"/>
    </row>
    <row r="976" spans="1:3" ht="15.75" customHeight="1">
      <c r="A976" s="68"/>
      <c r="C976" s="48"/>
    </row>
    <row r="977" spans="1:3" ht="15.75" customHeight="1">
      <c r="A977" s="68"/>
      <c r="C977" s="48"/>
    </row>
    <row r="978" spans="1:3" ht="15.75" customHeight="1">
      <c r="A978" s="68"/>
      <c r="C978" s="48"/>
    </row>
    <row r="979" spans="1:3" ht="15.75" customHeight="1">
      <c r="A979" s="68"/>
      <c r="C979" s="48"/>
    </row>
    <row r="980" spans="1:3" ht="15.75" customHeight="1">
      <c r="A980" s="68"/>
      <c r="C980" s="48"/>
    </row>
    <row r="981" spans="1:3" ht="15.75" customHeight="1">
      <c r="A981" s="68"/>
      <c r="C981" s="48"/>
    </row>
    <row r="982" spans="1:3" ht="15.75" customHeight="1">
      <c r="A982" s="68"/>
      <c r="C982" s="48"/>
    </row>
    <row r="983" spans="1:3" ht="15.75" customHeight="1">
      <c r="A983" s="68"/>
      <c r="C983" s="48"/>
    </row>
    <row r="984" spans="1:3" ht="15.75" customHeight="1">
      <c r="A984" s="68"/>
      <c r="C984" s="48"/>
    </row>
    <row r="985" spans="1:3" ht="15.75" customHeight="1">
      <c r="A985" s="68"/>
      <c r="C985" s="48"/>
    </row>
    <row r="986" spans="1:3" ht="15.75" customHeight="1">
      <c r="A986" s="68"/>
      <c r="C986" s="48"/>
    </row>
    <row r="987" spans="1:3" ht="15.75" customHeight="1">
      <c r="A987" s="68"/>
      <c r="C987" s="48"/>
    </row>
    <row r="988" spans="1:3" ht="15.75" customHeight="1">
      <c r="A988" s="68"/>
      <c r="C988" s="48"/>
    </row>
    <row r="989" spans="1:3" ht="15.75" customHeight="1">
      <c r="A989" s="68"/>
      <c r="C989" s="48"/>
    </row>
    <row r="990" spans="1:3" ht="15.75" customHeight="1">
      <c r="A990" s="68"/>
      <c r="C990" s="48"/>
    </row>
    <row r="991" spans="1:3" ht="15.75" customHeight="1">
      <c r="A991" s="68"/>
      <c r="C991" s="48"/>
    </row>
    <row r="992" spans="1:3" ht="15.75" customHeight="1">
      <c r="A992" s="68"/>
      <c r="C992" s="48"/>
    </row>
    <row r="993" spans="1:3" ht="15.75" customHeight="1">
      <c r="A993" s="68"/>
      <c r="C993" s="48"/>
    </row>
    <row r="994" spans="1:3" ht="15.75" customHeight="1">
      <c r="A994" s="68"/>
      <c r="C994" s="48"/>
    </row>
    <row r="995" spans="1:3" ht="15.75" customHeight="1">
      <c r="A995" s="68"/>
      <c r="C995" s="48"/>
    </row>
    <row r="996" spans="1:3" ht="15.75" customHeight="1">
      <c r="A996" s="68"/>
      <c r="C996" s="48"/>
    </row>
    <row r="997" spans="1:3" ht="15.75" customHeight="1">
      <c r="A997" s="68"/>
      <c r="C997" s="48"/>
    </row>
    <row r="998" spans="1:3" ht="15.75" customHeight="1">
      <c r="A998" s="68"/>
      <c r="C998" s="48"/>
    </row>
    <row r="999" spans="1:3" ht="15.75" customHeight="1">
      <c r="A999" s="68"/>
      <c r="C999" s="48"/>
    </row>
    <row r="1000" spans="1:3" ht="15.75" customHeight="1">
      <c r="A1000" s="68"/>
      <c r="C1000" s="48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46:B1000">
    <cfRule type="expression" dxfId="13" priority="1">
      <formula>OR($P46=#REF!,#REF!=#REF!,#REF!=#REF!)</formula>
    </cfRule>
  </conditionalFormatting>
  <conditionalFormatting sqref="B46:B1000">
    <cfRule type="expression" dxfId="12" priority="2">
      <formula>OR(#REF!=#REF!,#REF!=#REF!,#REF!=#REF!)</formula>
    </cfRule>
  </conditionalFormatting>
  <conditionalFormatting sqref="B46:B1000">
    <cfRule type="expression" dxfId="11" priority="3">
      <formula>OR(#REF!=#REF!,#REF!=#REF!,#REF!=#REF!)</formula>
    </cfRule>
  </conditionalFormatting>
  <conditionalFormatting sqref="B46:B1000">
    <cfRule type="expression" dxfId="10" priority="4">
      <formula>OR(#REF!=#REF!,#REF!=#REF!,#REF!=#REF!)</formula>
    </cfRule>
  </conditionalFormatting>
  <conditionalFormatting sqref="B46:B1000">
    <cfRule type="expression" dxfId="9" priority="5">
      <formula>OR(#REF!=#REF!,#REF!=#REF!,#REF!=#REF!)</formula>
    </cfRule>
  </conditionalFormatting>
  <conditionalFormatting sqref="B46:B1000">
    <cfRule type="expression" dxfId="8" priority="6">
      <formula>OR($R46=#REF!,#REF!=#REF!,#REF!=#REF!)</formula>
    </cfRule>
  </conditionalFormatting>
  <conditionalFormatting sqref="B46:B1000">
    <cfRule type="expression" dxfId="7" priority="7">
      <formula>OR(#REF!=#REF!,#REF!=#REF!,#REF!=#REF!)</formula>
    </cfRule>
  </conditionalFormatting>
  <conditionalFormatting sqref="B46:B1000">
    <cfRule type="expression" dxfId="6" priority="8">
      <formula>OR($P46=#REF!,#REF!=#REF!,#REF!=#REF!)</formula>
    </cfRule>
  </conditionalFormatting>
  <conditionalFormatting sqref="B46:B1000">
    <cfRule type="expression" dxfId="5" priority="9">
      <formula>OR(#REF!=#REF!,#REF!=#REF!,#REF!=#REF!)</formula>
    </cfRule>
  </conditionalFormatting>
  <conditionalFormatting sqref="B46:B1000">
    <cfRule type="expression" dxfId="4" priority="10">
      <formula>OR(#REF!=#REF!,#REF!=#REF!,#REF!=#REF!)</formula>
    </cfRule>
  </conditionalFormatting>
  <conditionalFormatting sqref="B46:B1000">
    <cfRule type="expression" dxfId="3" priority="11">
      <formula>OR(#REF!=#REF!,#REF!=#REF!,#REF!=#REF!)</formula>
    </cfRule>
  </conditionalFormatting>
  <conditionalFormatting sqref="B46:B1000">
    <cfRule type="expression" dxfId="2" priority="12">
      <formula>OR(#REF!=#REF!,#REF!=#REF!,#REF!=#REF!)</formula>
    </cfRule>
  </conditionalFormatting>
  <conditionalFormatting sqref="B46:B1000">
    <cfRule type="expression" dxfId="1" priority="13">
      <formula>OR($P46=#REF!,#REF!=#REF!,#REF!=#REF!)</formula>
    </cfRule>
  </conditionalFormatting>
  <conditionalFormatting sqref="B46:B1000">
    <cfRule type="expression" dxfId="0" priority="14">
      <formula>OR(#REF!=#REF!,#REF!=#REF!,#REF!=#REF!)</formula>
    </cfRule>
  </conditionalFormatting>
  <dataValidations count="2">
    <dataValidation type="list" allowBlank="1" showErrorMessage="1" sqref="C42:C45" xr:uid="{00000000-0002-0000-0100-000002000000}">
      <formula1>"TI,CC,PEP,PPT"</formula1>
    </dataValidation>
    <dataValidation type="list" allowBlank="1" showErrorMessage="1" sqref="C36:C41 C10:C34" xr:uid="{00000000-0002-0000-0100-000000000000}">
      <formula1>"TI,CC,PPT,PEP"</formula1>
    </dataValidation>
  </dataValidations>
  <hyperlinks>
    <hyperlink ref="C6" r:id="rId1" xr:uid="{57773476-0CA2-49C4-A7DF-6A65778A27BD}"/>
    <hyperlink ref="K10" r:id="rId2" xr:uid="{FB994915-21C6-49F2-8E11-7FF84B5CE084}"/>
    <hyperlink ref="K11" r:id="rId3" xr:uid="{D1A8A6C2-F3C4-45FE-8E0F-DA7042909711}"/>
    <hyperlink ref="K12" r:id="rId4" xr:uid="{17B76735-6D14-4FD9-93B8-92483B91437A}"/>
    <hyperlink ref="K13" r:id="rId5" xr:uid="{59065AB1-0957-4808-89DE-EF02F92F1F18}"/>
    <hyperlink ref="K14" r:id="rId6" xr:uid="{47DAD73C-4F6C-45AB-84CA-70D457BB0862}"/>
    <hyperlink ref="K15" r:id="rId7" xr:uid="{173D0BE1-8CA0-4640-BF93-96C675991FFF}"/>
    <hyperlink ref="K16" r:id="rId8" xr:uid="{666999E3-57B8-4CFD-A1C7-C3E1BB26F60B}"/>
    <hyperlink ref="K17" r:id="rId9" xr:uid="{8DE48C53-DF3D-4D75-B16F-51A1923C46D5}"/>
    <hyperlink ref="K18" r:id="rId10" xr:uid="{B41683DB-3289-4915-9130-47B849A20437}"/>
    <hyperlink ref="K19" r:id="rId11" xr:uid="{E63F8E01-0E31-4FE3-B4DE-C945B3D8484A}"/>
    <hyperlink ref="K20" r:id="rId12" xr:uid="{F86DBF9A-1C03-4ACF-8FBA-153D8759E773}"/>
    <hyperlink ref="K21" r:id="rId13" xr:uid="{45B15E99-6997-4C52-AAAF-089540BF5CEE}"/>
    <hyperlink ref="K22" r:id="rId14" xr:uid="{FED60344-6B8D-4942-B121-F5ECB6F770C9}"/>
    <hyperlink ref="K23" r:id="rId15" xr:uid="{DB322E3D-0474-4C30-B33F-0273D3082F38}"/>
    <hyperlink ref="K24" r:id="rId16" xr:uid="{9279ACBB-8458-4277-95BF-4D36530A220B}"/>
    <hyperlink ref="K25" r:id="rId17" xr:uid="{757A9C53-508D-4227-AD76-E65D72CD62B7}"/>
    <hyperlink ref="K26" r:id="rId18" xr:uid="{6E2B2BB4-D5E0-4070-B5C5-AAD6841F01F0}"/>
    <hyperlink ref="K27" r:id="rId19" xr:uid="{15E788C7-A2B6-437C-B70C-32E21ED583BD}"/>
    <hyperlink ref="K28" r:id="rId20" xr:uid="{FB5BF888-5399-44C5-B240-62DF4C7ED0D9}"/>
    <hyperlink ref="K29" r:id="rId21" xr:uid="{0CDA24BB-A92D-4EDE-A80D-57A9A8B7F97A}"/>
    <hyperlink ref="K30" r:id="rId22" xr:uid="{F9160FC8-80FA-419D-BD34-356345F4C685}"/>
    <hyperlink ref="K31" r:id="rId23" xr:uid="{C935D6C9-B72C-4EBF-BFCC-A75D3602976D}"/>
    <hyperlink ref="F32" r:id="rId24" xr:uid="{50140151-36DD-4461-9B99-0CEE31A544A2}"/>
    <hyperlink ref="I32" r:id="rId25" xr:uid="{D7B7DD09-2FB0-413B-87CC-3E1FF483A816}"/>
    <hyperlink ref="F33" r:id="rId26" xr:uid="{2A42E3A0-18C0-465E-B25E-11CCA0F27047}"/>
    <hyperlink ref="I33" r:id="rId27" xr:uid="{9190F448-79D6-40E2-AE65-04DD0B9D40E8}"/>
    <hyperlink ref="F34" r:id="rId28" xr:uid="{45FA1851-EEEA-481E-9DA0-A3131EC495B5}"/>
    <hyperlink ref="I34" r:id="rId29" xr:uid="{556FFD4E-6D7B-40D7-A54C-AB3D96A2482A}"/>
    <hyperlink ref="K34" r:id="rId30" xr:uid="{B2736E22-5EC0-4AEE-9CEE-2FD2DFC722BE}"/>
    <hyperlink ref="K33" r:id="rId31" xr:uid="{1F33BBBB-BCFD-470C-95E2-DD23B1EBCAC5}"/>
    <hyperlink ref="F10" r:id="rId32" xr:uid="{8E859E93-89AD-40F4-AC90-2B64A6E3F977}"/>
    <hyperlink ref="F30" r:id="rId33" xr:uid="{115D074F-BBA4-464F-9A08-A70A60AE2F4E}"/>
    <hyperlink ref="F13" r:id="rId34" xr:uid="{BC6179A8-D0C3-419C-B100-95CE4A20BC9C}"/>
    <hyperlink ref="F23" r:id="rId35" xr:uid="{6716EA10-84F1-4F54-BAB7-55FD0158A06F}"/>
    <hyperlink ref="F11" r:id="rId36" xr:uid="{461F288D-AFC2-4F52-AC5E-DA7DA98F73EB}"/>
    <hyperlink ref="F21" r:id="rId37" xr:uid="{99779338-BD68-47B2-9BF2-CCCF6AE95AC4}"/>
    <hyperlink ref="F17" r:id="rId38" xr:uid="{ABD55698-7458-4396-92B3-E317761A9D72}"/>
    <hyperlink ref="F27" r:id="rId39" xr:uid="{79397653-C598-4E16-849B-6D4B5139E973}"/>
    <hyperlink ref="F22" r:id="rId40" xr:uid="{85CE2091-A462-4819-BADE-86318D466E5B}"/>
    <hyperlink ref="F12" r:id="rId41" xr:uid="{CA9AFCBC-410E-4505-965C-2F987D2539DB}"/>
    <hyperlink ref="F19" r:id="rId42" xr:uid="{B6978E8A-350D-4BCB-B01F-01A046FB20BB}"/>
    <hyperlink ref="F24" r:id="rId43" xr:uid="{DE8376BD-B24F-41F9-8EA0-EFBF7B12F12E}"/>
    <hyperlink ref="F25" r:id="rId44" xr:uid="{A3D35CE7-31FE-4F47-8652-053671110CBC}"/>
    <hyperlink ref="F14" r:id="rId45" xr:uid="{EDAB085C-70DA-42CF-B788-11CB7266E5A4}"/>
    <hyperlink ref="F26" r:id="rId46" xr:uid="{7AF68CB1-97C0-4C53-9F89-AB1E6C9E3D43}"/>
    <hyperlink ref="F20" r:id="rId47" xr:uid="{2FBEFA49-B835-4308-AC48-75E632F647BE}"/>
    <hyperlink ref="F29" r:id="rId48" xr:uid="{D3D28A31-C1B5-4AD8-907E-A77AF27E24CB}"/>
    <hyperlink ref="F15" r:id="rId49" xr:uid="{239D2C9E-A54B-45B5-BCE2-AECA35FB7AFB}"/>
    <hyperlink ref="F18" r:id="rId50" xr:uid="{01A56839-B9B8-4E01-8634-3E8921B26A89}"/>
    <hyperlink ref="F16" r:id="rId51" xr:uid="{99945522-D6D4-4161-BE91-73CE03BD3865}"/>
    <hyperlink ref="K32" r:id="rId52" xr:uid="{CCCD99FE-A066-4B71-A6AC-016A69A5EE46}"/>
    <hyperlink ref="F31" r:id="rId53" xr:uid="{2708714B-C2A9-400C-AD34-F509AEABB484}"/>
    <hyperlink ref="F28" r:id="rId54" xr:uid="{9EF002DC-1841-48E8-8D44-F0D6A524DBBF}"/>
  </hyperlinks>
  <pageMargins left="0.7" right="0.7" top="0.75" bottom="0.75" header="0" footer="0"/>
  <pageSetup orientation="landscape" r:id="rId55"/>
  <tableParts count="1">
    <tablePart r:id="rId56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42"/>
  <sheetViews>
    <sheetView workbookViewId="0">
      <selection activeCell="F33" sqref="F33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6.25" customWidth="1"/>
  </cols>
  <sheetData>
    <row r="1" spans="1:6" ht="15" customHeight="1">
      <c r="A1" s="210" t="s">
        <v>79</v>
      </c>
      <c r="B1" s="129"/>
      <c r="C1" s="129"/>
      <c r="D1" s="129"/>
      <c r="E1" s="70"/>
      <c r="F1" s="70"/>
    </row>
    <row r="2" spans="1:6" ht="15.75">
      <c r="A2" s="71" t="s">
        <v>80</v>
      </c>
      <c r="B2" s="72" t="s">
        <v>81</v>
      </c>
      <c r="C2" s="72" t="s">
        <v>82</v>
      </c>
      <c r="D2" s="73" t="s">
        <v>83</v>
      </c>
    </row>
    <row r="3" spans="1:6" ht="15.75">
      <c r="A3" s="207" t="s">
        <v>285</v>
      </c>
      <c r="B3" s="74" t="s">
        <v>225</v>
      </c>
      <c r="C3" s="74" t="s">
        <v>226</v>
      </c>
      <c r="D3" s="115" t="s">
        <v>94</v>
      </c>
    </row>
    <row r="4" spans="1:6" ht="15.75">
      <c r="A4" s="208"/>
      <c r="B4" s="74" t="s">
        <v>227</v>
      </c>
      <c r="C4" s="74" t="s">
        <v>228</v>
      </c>
      <c r="D4" s="115" t="s">
        <v>155</v>
      </c>
    </row>
    <row r="5" spans="1:6" ht="15.75">
      <c r="A5" s="208"/>
      <c r="B5" s="74" t="s">
        <v>229</v>
      </c>
      <c r="C5" s="74" t="s">
        <v>230</v>
      </c>
      <c r="D5" s="115" t="s">
        <v>148</v>
      </c>
    </row>
    <row r="6" spans="1:6" ht="15.75">
      <c r="A6" s="208"/>
      <c r="B6" s="74" t="s">
        <v>231</v>
      </c>
      <c r="C6" s="74" t="s">
        <v>232</v>
      </c>
      <c r="D6" s="115" t="s">
        <v>141</v>
      </c>
    </row>
    <row r="7" spans="1:6" ht="15.75">
      <c r="A7" s="209"/>
      <c r="B7" s="75"/>
      <c r="C7" s="75"/>
      <c r="D7" s="76"/>
    </row>
    <row r="8" spans="1:6" ht="15.75">
      <c r="B8" s="77"/>
    </row>
    <row r="9" spans="1:6" ht="15.75">
      <c r="A9" s="71" t="s">
        <v>84</v>
      </c>
      <c r="B9" s="72" t="s">
        <v>81</v>
      </c>
      <c r="C9" s="72" t="s">
        <v>82</v>
      </c>
      <c r="D9" s="73" t="s">
        <v>83</v>
      </c>
    </row>
    <row r="10" spans="1:6" ht="15.75">
      <c r="A10" s="207" t="s">
        <v>286</v>
      </c>
      <c r="B10" s="74" t="s">
        <v>233</v>
      </c>
      <c r="C10" s="74" t="s">
        <v>234</v>
      </c>
      <c r="D10" s="115" t="s">
        <v>98</v>
      </c>
    </row>
    <row r="11" spans="1:6" ht="15.75">
      <c r="A11" s="208"/>
      <c r="B11" s="74" t="s">
        <v>235</v>
      </c>
      <c r="C11" s="74" t="s">
        <v>236</v>
      </c>
      <c r="D11" s="115" t="s">
        <v>146</v>
      </c>
    </row>
    <row r="12" spans="1:6" ht="15.75">
      <c r="A12" s="208"/>
      <c r="B12" s="74" t="s">
        <v>237</v>
      </c>
      <c r="C12" s="74" t="s">
        <v>238</v>
      </c>
      <c r="D12" s="115" t="s">
        <v>116</v>
      </c>
    </row>
    <row r="13" spans="1:6" ht="15.75">
      <c r="A13" s="208"/>
      <c r="B13" s="74" t="s">
        <v>239</v>
      </c>
      <c r="C13" s="74" t="s">
        <v>240</v>
      </c>
      <c r="D13" s="115" t="s">
        <v>152</v>
      </c>
    </row>
    <row r="14" spans="1:6" ht="15.75">
      <c r="A14" s="209"/>
      <c r="B14" s="75" t="s">
        <v>241</v>
      </c>
      <c r="C14" s="75" t="s">
        <v>242</v>
      </c>
      <c r="D14" s="116" t="s">
        <v>147</v>
      </c>
    </row>
    <row r="16" spans="1:6" ht="15.75">
      <c r="A16" s="71" t="s">
        <v>85</v>
      </c>
      <c r="B16" s="72" t="s">
        <v>81</v>
      </c>
      <c r="C16" s="72" t="s">
        <v>82</v>
      </c>
      <c r="D16" s="73" t="s">
        <v>83</v>
      </c>
    </row>
    <row r="17" spans="1:4" ht="15.75">
      <c r="A17" s="207" t="s">
        <v>287</v>
      </c>
      <c r="B17" s="74" t="s">
        <v>243</v>
      </c>
      <c r="C17" s="74" t="s">
        <v>244</v>
      </c>
      <c r="D17" s="115" t="s">
        <v>102</v>
      </c>
    </row>
    <row r="18" spans="1:4" ht="15.75">
      <c r="A18" s="208"/>
      <c r="B18" s="74" t="s">
        <v>245</v>
      </c>
      <c r="C18" s="74" t="s">
        <v>246</v>
      </c>
      <c r="D18" s="115" t="s">
        <v>144</v>
      </c>
    </row>
    <row r="19" spans="1:4" ht="15.75">
      <c r="A19" s="208"/>
      <c r="B19" s="74" t="s">
        <v>247</v>
      </c>
      <c r="C19" s="74" t="s">
        <v>248</v>
      </c>
      <c r="D19" s="115" t="s">
        <v>149</v>
      </c>
    </row>
    <row r="20" spans="1:4" ht="15.75">
      <c r="A20" s="208"/>
      <c r="B20" s="74" t="s">
        <v>249</v>
      </c>
      <c r="C20" s="74" t="s">
        <v>250</v>
      </c>
      <c r="D20" s="115" t="s">
        <v>150</v>
      </c>
    </row>
    <row r="21" spans="1:4" ht="15.75">
      <c r="A21" s="209"/>
      <c r="B21" s="75"/>
      <c r="C21" s="75"/>
      <c r="D21" s="76"/>
    </row>
    <row r="23" spans="1:4" ht="15.75">
      <c r="A23" s="71" t="s">
        <v>86</v>
      </c>
      <c r="B23" s="72" t="s">
        <v>81</v>
      </c>
      <c r="C23" s="72" t="s">
        <v>82</v>
      </c>
      <c r="D23" s="73" t="s">
        <v>83</v>
      </c>
    </row>
    <row r="24" spans="1:4" ht="15.75">
      <c r="A24" s="207" t="s">
        <v>284</v>
      </c>
      <c r="B24" s="74" t="s">
        <v>251</v>
      </c>
      <c r="C24" s="74" t="s">
        <v>252</v>
      </c>
      <c r="D24" s="115" t="s">
        <v>105</v>
      </c>
    </row>
    <row r="25" spans="1:4" ht="15.75">
      <c r="A25" s="208"/>
      <c r="B25" s="74" t="s">
        <v>253</v>
      </c>
      <c r="C25" s="74" t="s">
        <v>254</v>
      </c>
      <c r="D25" s="115" t="s">
        <v>151</v>
      </c>
    </row>
    <row r="26" spans="1:4" ht="15.75">
      <c r="A26" s="208"/>
      <c r="B26" s="74" t="s">
        <v>255</v>
      </c>
      <c r="C26" s="74" t="s">
        <v>256</v>
      </c>
      <c r="D26" s="115" t="s">
        <v>145</v>
      </c>
    </row>
    <row r="27" spans="1:4" ht="15.75">
      <c r="A27" s="208"/>
      <c r="B27" s="74" t="s">
        <v>257</v>
      </c>
      <c r="C27" s="74" t="s">
        <v>258</v>
      </c>
      <c r="D27" s="115" t="s">
        <v>154</v>
      </c>
    </row>
    <row r="28" spans="1:4" ht="15.75">
      <c r="A28" s="209"/>
      <c r="B28" s="75"/>
      <c r="C28" s="75"/>
      <c r="D28" s="76"/>
    </row>
    <row r="30" spans="1:4" ht="15.75">
      <c r="A30" s="71" t="s">
        <v>87</v>
      </c>
      <c r="B30" s="72" t="s">
        <v>81</v>
      </c>
      <c r="C30" s="72" t="s">
        <v>82</v>
      </c>
      <c r="D30" s="73" t="s">
        <v>83</v>
      </c>
    </row>
    <row r="31" spans="1:4" ht="15.75">
      <c r="A31" s="207" t="s">
        <v>289</v>
      </c>
      <c r="B31" s="74" t="s">
        <v>259</v>
      </c>
      <c r="C31" s="74" t="s">
        <v>260</v>
      </c>
      <c r="D31" s="115" t="s">
        <v>108</v>
      </c>
    </row>
    <row r="32" spans="1:4" ht="15.75">
      <c r="A32" s="208"/>
      <c r="B32" s="74" t="s">
        <v>261</v>
      </c>
      <c r="C32" s="74" t="s">
        <v>262</v>
      </c>
      <c r="D32" s="115" t="s">
        <v>263</v>
      </c>
    </row>
    <row r="33" spans="1:4" ht="15.75">
      <c r="A33" s="208"/>
      <c r="B33" s="74" t="s">
        <v>264</v>
      </c>
      <c r="C33" s="74" t="s">
        <v>265</v>
      </c>
      <c r="D33" s="115" t="s">
        <v>143</v>
      </c>
    </row>
    <row r="34" spans="1:4" ht="15.75">
      <c r="A34" s="208"/>
      <c r="B34" s="74" t="s">
        <v>267</v>
      </c>
      <c r="C34" s="74" t="s">
        <v>268</v>
      </c>
      <c r="D34" s="115" t="s">
        <v>219</v>
      </c>
    </row>
    <row r="35" spans="1:4" ht="15.75">
      <c r="A35" s="209"/>
      <c r="B35" s="75"/>
      <c r="C35" s="75"/>
      <c r="D35" s="76"/>
    </row>
    <row r="37" spans="1:4" ht="15.75">
      <c r="A37" s="71" t="s">
        <v>88</v>
      </c>
      <c r="B37" s="72" t="s">
        <v>81</v>
      </c>
      <c r="C37" s="72" t="s">
        <v>82</v>
      </c>
      <c r="D37" s="73" t="s">
        <v>83</v>
      </c>
    </row>
    <row r="38" spans="1:4" ht="15.75">
      <c r="A38" s="207" t="s">
        <v>288</v>
      </c>
      <c r="B38" s="74" t="s">
        <v>269</v>
      </c>
      <c r="C38" s="74" t="s">
        <v>270</v>
      </c>
      <c r="D38" s="115" t="s">
        <v>142</v>
      </c>
    </row>
    <row r="39" spans="1:4" ht="15.75">
      <c r="A39" s="208"/>
      <c r="B39" s="74" t="s">
        <v>283</v>
      </c>
      <c r="C39" s="74" t="s">
        <v>272</v>
      </c>
      <c r="D39" s="115" t="s">
        <v>214</v>
      </c>
    </row>
    <row r="40" spans="1:4" ht="15.75">
      <c r="A40" s="208"/>
      <c r="B40" s="74" t="s">
        <v>273</v>
      </c>
      <c r="C40" s="74" t="s">
        <v>274</v>
      </c>
      <c r="D40" s="115" t="s">
        <v>156</v>
      </c>
    </row>
    <row r="41" spans="1:4" ht="15.75">
      <c r="A41" s="208"/>
      <c r="B41" s="74" t="s">
        <v>275</v>
      </c>
      <c r="C41" s="74" t="s">
        <v>276</v>
      </c>
      <c r="D41" s="115" t="s">
        <v>153</v>
      </c>
    </row>
    <row r="42" spans="1:4" ht="15.75">
      <c r="A42" s="209"/>
      <c r="B42" s="75"/>
      <c r="C42" s="75"/>
      <c r="D42" s="76"/>
    </row>
  </sheetData>
  <mergeCells count="7">
    <mergeCell ref="A31:A35"/>
    <mergeCell ref="A38:A42"/>
    <mergeCell ref="A1:D1"/>
    <mergeCell ref="A3:A7"/>
    <mergeCell ref="A10:A14"/>
    <mergeCell ref="A17:A21"/>
    <mergeCell ref="A24:A28"/>
  </mergeCells>
  <hyperlinks>
    <hyperlink ref="D3" r:id="rId1" xr:uid="{090D3E8F-B4F1-485A-8B90-A0667D847EEA}"/>
    <hyperlink ref="D4" r:id="rId2" xr:uid="{F88CB245-AD72-4B5B-AB45-4B0F5D8EA2EA}"/>
    <hyperlink ref="D6" r:id="rId3" xr:uid="{2E6F5E61-68B9-4177-A39F-53832D681742}"/>
    <hyperlink ref="D5" r:id="rId4" xr:uid="{350E3CC3-6807-4DC6-95E5-5E4F69A393A2}"/>
    <hyperlink ref="D10" r:id="rId5" xr:uid="{F44C24F4-8366-4BFC-A230-58AE24150F76}"/>
    <hyperlink ref="D11" r:id="rId6" xr:uid="{42B0BE3E-88B4-40F3-9DAC-FA6BB0213A49}"/>
    <hyperlink ref="D12" r:id="rId7" xr:uid="{86438DA2-FD8A-4DE9-9039-0B4618517DF7}"/>
    <hyperlink ref="D13" r:id="rId8" xr:uid="{78755ADD-BAA7-42AF-B28C-4BBEFF335FB8}"/>
    <hyperlink ref="D14" r:id="rId9" xr:uid="{58BAE3A0-21A4-4383-8938-660FE55AF778}"/>
    <hyperlink ref="D17" r:id="rId10" xr:uid="{DB4B29F1-DD46-4998-A37E-8B9D6FFE15A8}"/>
    <hyperlink ref="D18" r:id="rId11" xr:uid="{E0321E49-8779-4774-B7F7-A7F5E435A46C}"/>
    <hyperlink ref="D19" r:id="rId12" xr:uid="{9442288C-F0F9-4D01-AD30-DC877D79DEAA}"/>
    <hyperlink ref="D20" r:id="rId13" xr:uid="{804A1DB6-CC1E-4193-A4FB-F6040E2C0784}"/>
    <hyperlink ref="D24" r:id="rId14" xr:uid="{10DED637-2535-4F04-9E56-DB8627104542}"/>
    <hyperlink ref="D25" r:id="rId15" xr:uid="{D8ACAC4D-FB0B-446E-9759-5F8EDBD26D4F}"/>
    <hyperlink ref="D26" r:id="rId16" xr:uid="{E5985040-C565-4D66-B036-3D316F7D4D88}"/>
    <hyperlink ref="D27" r:id="rId17" xr:uid="{39075AC5-1A24-450D-B596-374C068C2B3C}"/>
    <hyperlink ref="D31" r:id="rId18" xr:uid="{A5CE62B4-69F0-433E-A774-76CE90EB64DE}"/>
    <hyperlink ref="D32" r:id="rId19" xr:uid="{2F3264EF-B534-405D-88BF-41E3FDC59E13}"/>
    <hyperlink ref="D33" r:id="rId20" xr:uid="{C6B4DA88-AF21-45C6-AF21-AC25C1E6ECCF}"/>
    <hyperlink ref="D34" r:id="rId21" xr:uid="{5E132A24-9609-49C8-8D50-1CDAE9249A51}"/>
    <hyperlink ref="D38" r:id="rId22" xr:uid="{04483581-722F-4E4F-BF07-6640AB0B7A65}"/>
    <hyperlink ref="D39" r:id="rId23" xr:uid="{A3EA13F2-EA95-4941-AD46-745D6964C730}"/>
    <hyperlink ref="D40" r:id="rId24" xr:uid="{9619782B-DD80-4091-ACB9-23931E1C509B}"/>
    <hyperlink ref="D41" r:id="rId25" xr:uid="{52193442-0696-4206-B112-FA6EC6C6FA54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2026-04-07T15:06:55Z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